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updateLinks="always" defaultThemeVersion="124226"/>
  <xr:revisionPtr revIDLastSave="0" documentId="13_ncr:1_{FCBC739F-A6A5-4ECA-B729-0205000BD4B3}" xr6:coauthVersionLast="47" xr6:coauthVersionMax="47" xr10:uidLastSave="{00000000-0000-0000-0000-000000000000}"/>
  <bookViews>
    <workbookView xWindow="-120" yWindow="-120" windowWidth="20730" windowHeight="11160" tabRatio="783" xr2:uid="{00000000-000D-0000-FFFF-FFFF00000000}"/>
  </bookViews>
  <sheets>
    <sheet name="Macros" sheetId="1" r:id="rId1"/>
    <sheet name="Micros" sheetId="2" r:id="rId2"/>
    <sheet name="Azufre" sheetId="32" r:id="rId3"/>
    <sheet name="Fósforo" sheetId="5" r:id="rId4"/>
    <sheet name="Conductividad Electrica" sheetId="3" r:id="rId5"/>
    <sheet name="pH" sheetId="27" r:id="rId6"/>
    <sheet name="%M.O" sheetId="4" state="hidden" r:id="rId7"/>
    <sheet name="Capacidad de Inter. Cationico" sheetId="8" r:id="rId8"/>
    <sheet name="%MO" sheetId="28" r:id="rId9"/>
    <sheet name="%Humedad Residual" sheetId="7" state="hidden" r:id="rId10"/>
    <sheet name="Textura" sheetId="6" state="hidden" r:id="rId11"/>
    <sheet name="Boro " sheetId="31" r:id="rId12"/>
    <sheet name="NITRIGENO" sheetId="30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8" l="1"/>
  <c r="J12" i="28" s="1"/>
  <c r="K10" i="28" s="1"/>
  <c r="E7" i="28" l="1"/>
  <c r="F7" i="28" s="1"/>
  <c r="E9" i="28"/>
  <c r="F9" i="28" s="1"/>
  <c r="E14" i="28"/>
  <c r="F14" i="28" s="1"/>
  <c r="E6" i="28"/>
  <c r="F6" i="28" s="1"/>
  <c r="E11" i="28"/>
  <c r="F11" i="28" s="1"/>
  <c r="E8" i="28"/>
  <c r="F8" i="28" s="1"/>
  <c r="E10" i="28"/>
  <c r="F10" i="28" s="1"/>
  <c r="E13" i="28"/>
  <c r="F13" i="28" s="1"/>
  <c r="E15" i="28"/>
  <c r="F15" i="28" s="1"/>
  <c r="E12" i="28"/>
  <c r="F12" i="28" s="1"/>
  <c r="E11" i="32"/>
  <c r="E10" i="32"/>
  <c r="E9" i="32"/>
  <c r="E15" i="5" l="1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F13" i="30" l="1"/>
  <c r="E17" i="31"/>
  <c r="E16" i="31"/>
  <c r="E15" i="31"/>
  <c r="E14" i="31"/>
  <c r="E13" i="31"/>
  <c r="E12" i="31"/>
  <c r="Q6" i="2"/>
  <c r="P6" i="2"/>
  <c r="O6" i="2"/>
  <c r="N6" i="2"/>
  <c r="O7" i="1"/>
  <c r="N7" i="1"/>
  <c r="M7" i="1"/>
  <c r="L7" i="1"/>
  <c r="E11" i="31" l="1"/>
  <c r="E10" i="31"/>
  <c r="E9" i="31"/>
  <c r="E8" i="31"/>
  <c r="E7" i="31"/>
  <c r="E6" i="31"/>
  <c r="E13" i="32"/>
  <c r="E8" i="32"/>
  <c r="E12" i="32"/>
  <c r="E7" i="32"/>
  <c r="F12" i="30"/>
  <c r="F11" i="30"/>
  <c r="F10" i="30"/>
  <c r="F9" i="30"/>
  <c r="F8" i="30"/>
  <c r="F7" i="30"/>
  <c r="F6" i="30"/>
  <c r="F5" i="30"/>
  <c r="F10" i="8" l="1"/>
  <c r="F9" i="8"/>
  <c r="F8" i="8"/>
  <c r="F7" i="8"/>
  <c r="F6" i="8"/>
  <c r="F5" i="8"/>
  <c r="E5" i="3"/>
  <c r="E4" i="3" l="1"/>
  <c r="E7" i="3" l="1"/>
  <c r="E6" i="3"/>
  <c r="Q5" i="2"/>
  <c r="P5" i="2"/>
  <c r="O5" i="2"/>
  <c r="N5" i="2"/>
  <c r="Q4" i="2"/>
  <c r="P4" i="2"/>
  <c r="O4" i="2"/>
  <c r="N4" i="2"/>
  <c r="O6" i="1"/>
  <c r="N6" i="1"/>
  <c r="M6" i="1"/>
  <c r="L6" i="1"/>
  <c r="O5" i="1"/>
  <c r="N5" i="1"/>
  <c r="M5" i="1"/>
  <c r="L5" i="1"/>
  <c r="E336" i="4" l="1"/>
  <c r="E334" i="4"/>
  <c r="G334" i="4" s="1"/>
  <c r="G333" i="4"/>
  <c r="E335" i="4" s="1"/>
  <c r="D331" i="4"/>
  <c r="G331" i="4" s="1"/>
  <c r="G335" i="4" l="1"/>
  <c r="G336" i="4"/>
  <c r="G289" i="4" l="1"/>
  <c r="E292" i="4"/>
  <c r="D287" i="4"/>
  <c r="G287" i="4" s="1"/>
  <c r="G242" i="4"/>
  <c r="E291" i="4" l="1"/>
  <c r="G291" i="4" s="1"/>
  <c r="G292" i="4"/>
  <c r="E290" i="4"/>
  <c r="G290" i="4" s="1"/>
  <c r="G249" i="4"/>
  <c r="E245" i="4"/>
  <c r="G213" i="4"/>
  <c r="E214" i="4" s="1"/>
  <c r="D240" i="4"/>
  <c r="G240" i="4" s="1"/>
  <c r="G295" i="4" l="1"/>
  <c r="G299" i="4"/>
  <c r="G303" i="4"/>
  <c r="G307" i="4"/>
  <c r="G311" i="4"/>
  <c r="G315" i="4"/>
  <c r="G319" i="4"/>
  <c r="G323" i="4"/>
  <c r="G327" i="4"/>
  <c r="G293" i="4"/>
  <c r="G248" i="4"/>
  <c r="G297" i="4"/>
  <c r="G301" i="4"/>
  <c r="G305" i="4"/>
  <c r="G313" i="4"/>
  <c r="G321" i="4"/>
  <c r="G298" i="4"/>
  <c r="G302" i="4"/>
  <c r="G310" i="4"/>
  <c r="G314" i="4"/>
  <c r="G322" i="4"/>
  <c r="G294" i="4"/>
  <c r="G296" i="4"/>
  <c r="G300" i="4"/>
  <c r="G304" i="4"/>
  <c r="G308" i="4"/>
  <c r="G312" i="4"/>
  <c r="G316" i="4"/>
  <c r="G320" i="4"/>
  <c r="G324" i="4"/>
  <c r="G309" i="4"/>
  <c r="G317" i="4"/>
  <c r="G325" i="4"/>
  <c r="G247" i="4"/>
  <c r="G306" i="4"/>
  <c r="G318" i="4"/>
  <c r="G326" i="4"/>
  <c r="G246" i="4"/>
  <c r="G251" i="4"/>
  <c r="G250" i="4"/>
  <c r="G252" i="4"/>
  <c r="G253" i="4"/>
  <c r="G254" i="4"/>
  <c r="E244" i="4"/>
  <c r="G244" i="4" s="1"/>
  <c r="G245" i="4"/>
  <c r="E243" i="4"/>
  <c r="G243" i="4" s="1"/>
  <c r="G257" i="4" l="1"/>
  <c r="G256" i="4"/>
  <c r="G255" i="4"/>
  <c r="G260" i="4" l="1"/>
  <c r="G258" i="4"/>
  <c r="G259" i="4"/>
  <c r="G263" i="4" l="1"/>
  <c r="G262" i="4"/>
  <c r="G261" i="4"/>
  <c r="G266" i="4" l="1"/>
  <c r="G264" i="4"/>
  <c r="G265" i="4"/>
  <c r="G268" i="4" l="1"/>
  <c r="G269" i="4"/>
  <c r="G267" i="4"/>
  <c r="G271" i="4" l="1"/>
  <c r="G272" i="4"/>
  <c r="G270" i="4"/>
  <c r="G274" i="4" l="1"/>
  <c r="G273" i="4"/>
  <c r="G275" i="4"/>
  <c r="G277" i="4" l="1"/>
  <c r="G278" i="4"/>
  <c r="G276" i="4"/>
  <c r="G280" i="4" l="1"/>
  <c r="G279" i="4"/>
  <c r="G281" i="4"/>
  <c r="G283" i="4" l="1"/>
  <c r="G284" i="4"/>
  <c r="G282" i="4"/>
  <c r="E217" i="4" l="1"/>
  <c r="E216" i="4"/>
  <c r="E215" i="4"/>
  <c r="D211" i="4"/>
  <c r="G211" i="4" s="1"/>
  <c r="G223" i="4" l="1"/>
  <c r="G218" i="4"/>
  <c r="G214" i="4"/>
  <c r="G219" i="4"/>
  <c r="G227" i="4"/>
  <c r="G231" i="4"/>
  <c r="G235" i="4"/>
  <c r="G222" i="4"/>
  <c r="G226" i="4"/>
  <c r="G230" i="4"/>
  <c r="G234" i="4"/>
  <c r="G221" i="4"/>
  <c r="G225" i="4"/>
  <c r="G229" i="4"/>
  <c r="G233" i="4"/>
  <c r="G220" i="4"/>
  <c r="G224" i="4"/>
  <c r="G228" i="4"/>
  <c r="G232" i="4"/>
  <c r="G217" i="4"/>
  <c r="G216" i="4"/>
  <c r="G215" i="4"/>
  <c r="G201" i="4" l="1"/>
  <c r="E203" i="4" s="1"/>
  <c r="D199" i="4"/>
  <c r="G199" i="4" s="1"/>
  <c r="G207" i="4" l="1"/>
  <c r="G208" i="4"/>
  <c r="E205" i="4"/>
  <c r="G205" i="4" s="1"/>
  <c r="G206" i="4"/>
  <c r="G203" i="4"/>
  <c r="E202" i="4"/>
  <c r="G202" i="4" s="1"/>
  <c r="E204" i="4"/>
  <c r="G204" i="4" s="1"/>
  <c r="G196" i="4" l="1"/>
  <c r="G195" i="4"/>
  <c r="G194" i="4"/>
  <c r="G193" i="4"/>
  <c r="G192" i="4"/>
  <c r="G191" i="4"/>
  <c r="G190" i="4"/>
  <c r="G189" i="4"/>
  <c r="G188" i="4"/>
  <c r="G183" i="4" l="1"/>
  <c r="E186" i="4" s="1"/>
  <c r="D181" i="4"/>
  <c r="G181" i="4" s="1"/>
  <c r="G186" i="4" l="1"/>
  <c r="E185" i="4"/>
  <c r="G185" i="4" s="1"/>
  <c r="E187" i="4"/>
  <c r="G187" i="4" s="1"/>
  <c r="E184" i="4"/>
  <c r="G184" i="4" s="1"/>
  <c r="G178" i="4" l="1"/>
  <c r="G177" i="4"/>
  <c r="G176" i="4"/>
  <c r="G175" i="4"/>
  <c r="G174" i="4"/>
  <c r="G173" i="4"/>
  <c r="G172" i="4"/>
  <c r="G171" i="4"/>
  <c r="G170" i="4"/>
  <c r="G165" i="4"/>
  <c r="E168" i="4" s="1"/>
  <c r="D163" i="4"/>
  <c r="G163" i="4" s="1"/>
  <c r="G168" i="4" l="1"/>
  <c r="E167" i="4"/>
  <c r="G167" i="4" s="1"/>
  <c r="E169" i="4"/>
  <c r="G169" i="4" s="1"/>
  <c r="E166" i="4"/>
  <c r="G166" i="4" s="1"/>
  <c r="G155" i="4"/>
  <c r="D148" i="4"/>
  <c r="G159" i="4"/>
  <c r="G158" i="4"/>
  <c r="G157" i="4"/>
  <c r="G156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150" i="4" l="1"/>
  <c r="E153" i="4" s="1"/>
  <c r="G148" i="4"/>
  <c r="G153" i="4" l="1"/>
  <c r="E154" i="4"/>
  <c r="G154" i="4" s="1"/>
  <c r="E152" i="4"/>
  <c r="G152" i="4" s="1"/>
  <c r="E151" i="4"/>
  <c r="G151" i="4" s="1"/>
  <c r="E78" i="7" l="1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2" i="7" l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79" i="7"/>
  <c r="K219" i="6"/>
  <c r="G219" i="6"/>
  <c r="D219" i="6"/>
  <c r="K218" i="6"/>
  <c r="G218" i="6"/>
  <c r="D218" i="6"/>
  <c r="K217" i="6"/>
  <c r="G217" i="6"/>
  <c r="D217" i="6"/>
  <c r="K216" i="6"/>
  <c r="G216" i="6"/>
  <c r="D216" i="6"/>
  <c r="K215" i="6"/>
  <c r="G215" i="6"/>
  <c r="D215" i="6"/>
  <c r="K214" i="6"/>
  <c r="G214" i="6"/>
  <c r="D214" i="6"/>
  <c r="K213" i="6"/>
  <c r="G213" i="6"/>
  <c r="H213" i="6" s="1"/>
  <c r="D213" i="6"/>
  <c r="K212" i="6"/>
  <c r="G212" i="6"/>
  <c r="D212" i="6"/>
  <c r="K211" i="6"/>
  <c r="G211" i="6"/>
  <c r="D211" i="6"/>
  <c r="K210" i="6"/>
  <c r="G210" i="6"/>
  <c r="D210" i="6"/>
  <c r="K209" i="6"/>
  <c r="G209" i="6"/>
  <c r="H209" i="6" s="1"/>
  <c r="D209" i="6"/>
  <c r="K208" i="6"/>
  <c r="G208" i="6"/>
  <c r="D208" i="6"/>
  <c r="K207" i="6"/>
  <c r="G207" i="6"/>
  <c r="D207" i="6"/>
  <c r="K206" i="6"/>
  <c r="G206" i="6"/>
  <c r="D206" i="6"/>
  <c r="K205" i="6"/>
  <c r="G205" i="6"/>
  <c r="H205" i="6" s="1"/>
  <c r="D205" i="6"/>
  <c r="K204" i="6"/>
  <c r="G204" i="6"/>
  <c r="D204" i="6"/>
  <c r="K203" i="6"/>
  <c r="G203" i="6"/>
  <c r="D203" i="6"/>
  <c r="K202" i="6"/>
  <c r="G202" i="6"/>
  <c r="D202" i="6"/>
  <c r="K201" i="6"/>
  <c r="G201" i="6"/>
  <c r="D201" i="6"/>
  <c r="K200" i="6"/>
  <c r="G200" i="6"/>
  <c r="D200" i="6"/>
  <c r="K199" i="6"/>
  <c r="G199" i="6"/>
  <c r="D199" i="6"/>
  <c r="K198" i="6"/>
  <c r="G198" i="6"/>
  <c r="D198" i="6"/>
  <c r="K197" i="6"/>
  <c r="G197" i="6"/>
  <c r="D197" i="6"/>
  <c r="K196" i="6"/>
  <c r="G196" i="6"/>
  <c r="D196" i="6"/>
  <c r="K195" i="6"/>
  <c r="G195" i="6"/>
  <c r="D195" i="6"/>
  <c r="K194" i="6"/>
  <c r="G194" i="6"/>
  <c r="D194" i="6"/>
  <c r="K193" i="6"/>
  <c r="G193" i="6"/>
  <c r="H193" i="6" s="1"/>
  <c r="O193" i="6" s="1"/>
  <c r="D193" i="6"/>
  <c r="K192" i="6"/>
  <c r="G192" i="6"/>
  <c r="D192" i="6"/>
  <c r="K191" i="6"/>
  <c r="G191" i="6"/>
  <c r="D191" i="6"/>
  <c r="K190" i="6"/>
  <c r="G190" i="6"/>
  <c r="D190" i="6"/>
  <c r="K189" i="6"/>
  <c r="G189" i="6"/>
  <c r="H189" i="6" s="1"/>
  <c r="O189" i="6" s="1"/>
  <c r="D189" i="6"/>
  <c r="K188" i="6"/>
  <c r="G188" i="6"/>
  <c r="D188" i="6"/>
  <c r="K187" i="6"/>
  <c r="G187" i="6"/>
  <c r="D187" i="6"/>
  <c r="K186" i="6"/>
  <c r="G186" i="6"/>
  <c r="D186" i="6"/>
  <c r="K185" i="6"/>
  <c r="G185" i="6"/>
  <c r="H185" i="6" s="1"/>
  <c r="O185" i="6" s="1"/>
  <c r="D185" i="6"/>
  <c r="K184" i="6"/>
  <c r="G184" i="6"/>
  <c r="D184" i="6"/>
  <c r="K183" i="6"/>
  <c r="G183" i="6"/>
  <c r="D183" i="6"/>
  <c r="K182" i="6"/>
  <c r="G182" i="6"/>
  <c r="D182" i="6"/>
  <c r="K181" i="6"/>
  <c r="G181" i="6"/>
  <c r="H181" i="6" s="1"/>
  <c r="O181" i="6" s="1"/>
  <c r="D181" i="6"/>
  <c r="K180" i="6"/>
  <c r="G180" i="6"/>
  <c r="D180" i="6"/>
  <c r="K179" i="6"/>
  <c r="G179" i="6"/>
  <c r="D179" i="6"/>
  <c r="K178" i="6"/>
  <c r="G178" i="6"/>
  <c r="D178" i="6"/>
  <c r="K177" i="6"/>
  <c r="G177" i="6"/>
  <c r="D177" i="6"/>
  <c r="K176" i="6"/>
  <c r="G176" i="6"/>
  <c r="D176" i="6"/>
  <c r="K175" i="6"/>
  <c r="G175" i="6"/>
  <c r="D175" i="6"/>
  <c r="K174" i="6"/>
  <c r="G174" i="6"/>
  <c r="D174" i="6"/>
  <c r="K173" i="6"/>
  <c r="G173" i="6"/>
  <c r="D173" i="6"/>
  <c r="K172" i="6"/>
  <c r="G172" i="6"/>
  <c r="D172" i="6"/>
  <c r="K171" i="6"/>
  <c r="G171" i="6"/>
  <c r="D171" i="6"/>
  <c r="K170" i="6"/>
  <c r="G170" i="6"/>
  <c r="D170" i="6"/>
  <c r="K169" i="6"/>
  <c r="G169" i="6"/>
  <c r="D169" i="6"/>
  <c r="K168" i="6"/>
  <c r="G168" i="6"/>
  <c r="D168" i="6"/>
  <c r="K167" i="6"/>
  <c r="G167" i="6"/>
  <c r="D167" i="6"/>
  <c r="K166" i="6"/>
  <c r="G166" i="6"/>
  <c r="D166" i="6"/>
  <c r="K165" i="6"/>
  <c r="G165" i="6"/>
  <c r="D165" i="6"/>
  <c r="K164" i="6"/>
  <c r="G164" i="6"/>
  <c r="D164" i="6"/>
  <c r="K163" i="6"/>
  <c r="G163" i="6"/>
  <c r="D163" i="6"/>
  <c r="K162" i="6"/>
  <c r="G162" i="6"/>
  <c r="D162" i="6"/>
  <c r="K161" i="6"/>
  <c r="G161" i="6"/>
  <c r="H161" i="6" s="1"/>
  <c r="D161" i="6"/>
  <c r="K160" i="6"/>
  <c r="G160" i="6"/>
  <c r="D160" i="6"/>
  <c r="K159" i="6"/>
  <c r="G159" i="6"/>
  <c r="D159" i="6"/>
  <c r="K158" i="6"/>
  <c r="G158" i="6"/>
  <c r="D158" i="6"/>
  <c r="K157" i="6"/>
  <c r="G157" i="6"/>
  <c r="H157" i="6" s="1"/>
  <c r="D157" i="6"/>
  <c r="K156" i="6"/>
  <c r="G156" i="6"/>
  <c r="D156" i="6"/>
  <c r="K155" i="6"/>
  <c r="G155" i="6"/>
  <c r="D155" i="6"/>
  <c r="K154" i="6"/>
  <c r="G154" i="6"/>
  <c r="D154" i="6"/>
  <c r="K153" i="6"/>
  <c r="G153" i="6"/>
  <c r="D153" i="6"/>
  <c r="K152" i="6"/>
  <c r="G152" i="6"/>
  <c r="D152" i="6"/>
  <c r="K151" i="6"/>
  <c r="G151" i="6"/>
  <c r="D151" i="6"/>
  <c r="K150" i="6"/>
  <c r="G150" i="6"/>
  <c r="D150" i="6"/>
  <c r="K149" i="6"/>
  <c r="G149" i="6"/>
  <c r="D149" i="6"/>
  <c r="K148" i="6"/>
  <c r="G148" i="6"/>
  <c r="D148" i="6"/>
  <c r="K147" i="6"/>
  <c r="G147" i="6"/>
  <c r="D147" i="6"/>
  <c r="K146" i="6"/>
  <c r="G146" i="6"/>
  <c r="D146" i="6"/>
  <c r="K145" i="6"/>
  <c r="G145" i="6"/>
  <c r="D145" i="6"/>
  <c r="K144" i="6"/>
  <c r="G144" i="6"/>
  <c r="D144" i="6"/>
  <c r="K143" i="6"/>
  <c r="G143" i="6"/>
  <c r="D143" i="6"/>
  <c r="K142" i="6"/>
  <c r="G142" i="6"/>
  <c r="D142" i="6"/>
  <c r="K141" i="6"/>
  <c r="G141" i="6"/>
  <c r="D141" i="6"/>
  <c r="K140" i="6"/>
  <c r="G140" i="6"/>
  <c r="D140" i="6"/>
  <c r="K139" i="6"/>
  <c r="G139" i="6"/>
  <c r="D139" i="6"/>
  <c r="K138" i="6"/>
  <c r="G138" i="6"/>
  <c r="D138" i="6"/>
  <c r="K137" i="6"/>
  <c r="G137" i="6"/>
  <c r="D137" i="6"/>
  <c r="K136" i="6"/>
  <c r="G136" i="6"/>
  <c r="D136" i="6"/>
  <c r="K135" i="6"/>
  <c r="G135" i="6"/>
  <c r="D135" i="6"/>
  <c r="K134" i="6"/>
  <c r="G134" i="6"/>
  <c r="D134" i="6"/>
  <c r="K133" i="6"/>
  <c r="G133" i="6"/>
  <c r="D133" i="6"/>
  <c r="K132" i="6"/>
  <c r="G132" i="6"/>
  <c r="D132" i="6"/>
  <c r="K131" i="6"/>
  <c r="G131" i="6"/>
  <c r="D131" i="6"/>
  <c r="K130" i="6"/>
  <c r="G130" i="6"/>
  <c r="D130" i="6"/>
  <c r="K129" i="6"/>
  <c r="G129" i="6"/>
  <c r="D129" i="6"/>
  <c r="K128" i="6"/>
  <c r="G128" i="6"/>
  <c r="D128" i="6"/>
  <c r="K127" i="6"/>
  <c r="G127" i="6"/>
  <c r="D127" i="6"/>
  <c r="K126" i="6"/>
  <c r="G126" i="6"/>
  <c r="D126" i="6"/>
  <c r="K125" i="6"/>
  <c r="G125" i="6"/>
  <c r="D125" i="6"/>
  <c r="K124" i="6"/>
  <c r="G124" i="6"/>
  <c r="D124" i="6"/>
  <c r="K123" i="6"/>
  <c r="G123" i="6"/>
  <c r="D123" i="6"/>
  <c r="K122" i="6"/>
  <c r="G122" i="6"/>
  <c r="D122" i="6"/>
  <c r="K121" i="6"/>
  <c r="G121" i="6"/>
  <c r="D121" i="6"/>
  <c r="K120" i="6"/>
  <c r="G120" i="6"/>
  <c r="D120" i="6"/>
  <c r="K119" i="6"/>
  <c r="G119" i="6"/>
  <c r="D119" i="6"/>
  <c r="K118" i="6"/>
  <c r="G118" i="6"/>
  <c r="D118" i="6"/>
  <c r="K117" i="6"/>
  <c r="G117" i="6"/>
  <c r="D117" i="6"/>
  <c r="K116" i="6"/>
  <c r="G116" i="6"/>
  <c r="D116" i="6"/>
  <c r="K115" i="6"/>
  <c r="G115" i="6"/>
  <c r="D115" i="6"/>
  <c r="K114" i="6"/>
  <c r="G114" i="6"/>
  <c r="D114" i="6"/>
  <c r="K113" i="6"/>
  <c r="G113" i="6"/>
  <c r="D113" i="6"/>
  <c r="K112" i="6"/>
  <c r="G112" i="6"/>
  <c r="D112" i="6"/>
  <c r="K111" i="6"/>
  <c r="G111" i="6"/>
  <c r="D111" i="6"/>
  <c r="K110" i="6"/>
  <c r="G110" i="6"/>
  <c r="D110" i="6"/>
  <c r="K109" i="6"/>
  <c r="G109" i="6"/>
  <c r="D109" i="6"/>
  <c r="K108" i="6"/>
  <c r="G108" i="6"/>
  <c r="D108" i="6"/>
  <c r="K107" i="6"/>
  <c r="G107" i="6"/>
  <c r="D107" i="6"/>
  <c r="K106" i="6"/>
  <c r="G106" i="6"/>
  <c r="D106" i="6"/>
  <c r="K105" i="6"/>
  <c r="G105" i="6"/>
  <c r="D105" i="6"/>
  <c r="K104" i="6"/>
  <c r="G104" i="6"/>
  <c r="D104" i="6"/>
  <c r="K103" i="6"/>
  <c r="G103" i="6"/>
  <c r="D103" i="6"/>
  <c r="K102" i="6"/>
  <c r="G102" i="6"/>
  <c r="D102" i="6"/>
  <c r="K101" i="6"/>
  <c r="G101" i="6"/>
  <c r="D101" i="6"/>
  <c r="K100" i="6"/>
  <c r="G100" i="6"/>
  <c r="D100" i="6"/>
  <c r="K99" i="6"/>
  <c r="G99" i="6"/>
  <c r="D99" i="6"/>
  <c r="K98" i="6"/>
  <c r="G98" i="6"/>
  <c r="D98" i="6"/>
  <c r="K97" i="6"/>
  <c r="G97" i="6"/>
  <c r="D97" i="6"/>
  <c r="K96" i="6"/>
  <c r="G96" i="6"/>
  <c r="D96" i="6"/>
  <c r="K95" i="6"/>
  <c r="G95" i="6"/>
  <c r="D95" i="6"/>
  <c r="K94" i="6"/>
  <c r="G94" i="6"/>
  <c r="D94" i="6"/>
  <c r="K93" i="6"/>
  <c r="G93" i="6"/>
  <c r="D93" i="6"/>
  <c r="K92" i="6"/>
  <c r="G92" i="6"/>
  <c r="D92" i="6"/>
  <c r="K91" i="6"/>
  <c r="G91" i="6"/>
  <c r="D91" i="6"/>
  <c r="K90" i="6"/>
  <c r="G90" i="6"/>
  <c r="D90" i="6"/>
  <c r="K89" i="6"/>
  <c r="G89" i="6"/>
  <c r="D89" i="6"/>
  <c r="K88" i="6"/>
  <c r="G88" i="6"/>
  <c r="D88" i="6"/>
  <c r="K87" i="6"/>
  <c r="G87" i="6"/>
  <c r="D87" i="6"/>
  <c r="K86" i="6"/>
  <c r="G86" i="6"/>
  <c r="D86" i="6"/>
  <c r="K85" i="6"/>
  <c r="G85" i="6"/>
  <c r="D85" i="6"/>
  <c r="K84" i="6"/>
  <c r="G84" i="6"/>
  <c r="D84" i="6"/>
  <c r="K82" i="6"/>
  <c r="G82" i="6"/>
  <c r="D82" i="6"/>
  <c r="K81" i="6"/>
  <c r="G81" i="6"/>
  <c r="D81" i="6"/>
  <c r="K80" i="6"/>
  <c r="G80" i="6"/>
  <c r="D80" i="6"/>
  <c r="K79" i="6"/>
  <c r="G79" i="6"/>
  <c r="D79" i="6"/>
  <c r="K78" i="6"/>
  <c r="G78" i="6"/>
  <c r="D78" i="6"/>
  <c r="K77" i="6"/>
  <c r="G77" i="6"/>
  <c r="D77" i="6"/>
  <c r="K76" i="6"/>
  <c r="G76" i="6"/>
  <c r="D76" i="6"/>
  <c r="K75" i="6"/>
  <c r="G75" i="6"/>
  <c r="D75" i="6"/>
  <c r="K74" i="6"/>
  <c r="G74" i="6"/>
  <c r="D74" i="6"/>
  <c r="K73" i="6"/>
  <c r="G73" i="6"/>
  <c r="D73" i="6"/>
  <c r="K72" i="6"/>
  <c r="G72" i="6"/>
  <c r="D72" i="6"/>
  <c r="K71" i="6"/>
  <c r="G71" i="6"/>
  <c r="D71" i="6"/>
  <c r="K70" i="6"/>
  <c r="G70" i="6"/>
  <c r="D70" i="6"/>
  <c r="K69" i="6"/>
  <c r="G69" i="6"/>
  <c r="D69" i="6"/>
  <c r="K68" i="6"/>
  <c r="G68" i="6"/>
  <c r="D68" i="6"/>
  <c r="K67" i="6"/>
  <c r="G67" i="6"/>
  <c r="D67" i="6"/>
  <c r="K65" i="6"/>
  <c r="G65" i="6"/>
  <c r="D65" i="6"/>
  <c r="K64" i="6"/>
  <c r="G64" i="6"/>
  <c r="D64" i="6"/>
  <c r="E63" i="7"/>
  <c r="H149" i="6" l="1"/>
  <c r="H79" i="6"/>
  <c r="H148" i="6"/>
  <c r="H156" i="6"/>
  <c r="N156" i="6" s="1"/>
  <c r="M157" i="6"/>
  <c r="H172" i="6"/>
  <c r="M173" i="6"/>
  <c r="M79" i="6"/>
  <c r="M140" i="6"/>
  <c r="M148" i="6"/>
  <c r="M156" i="6"/>
  <c r="M164" i="6"/>
  <c r="M172" i="6"/>
  <c r="M176" i="6"/>
  <c r="M180" i="6"/>
  <c r="H78" i="6"/>
  <c r="O78" i="6" s="1"/>
  <c r="H103" i="6"/>
  <c r="O103" i="6" s="1"/>
  <c r="M182" i="6"/>
  <c r="M186" i="6"/>
  <c r="M190" i="6"/>
  <c r="M198" i="6"/>
  <c r="M206" i="6"/>
  <c r="M210" i="6"/>
  <c r="M214" i="6"/>
  <c r="N214" i="6" s="1"/>
  <c r="H87" i="6"/>
  <c r="O87" i="6" s="1"/>
  <c r="H95" i="6"/>
  <c r="H107" i="6"/>
  <c r="O107" i="6" s="1"/>
  <c r="H91" i="6"/>
  <c r="H99" i="6"/>
  <c r="O99" i="6" s="1"/>
  <c r="M78" i="6"/>
  <c r="M82" i="6"/>
  <c r="M97" i="6"/>
  <c r="M101" i="6"/>
  <c r="M113" i="6"/>
  <c r="M117" i="6"/>
  <c r="M121" i="6"/>
  <c r="M125" i="6"/>
  <c r="M129" i="6"/>
  <c r="M133" i="6"/>
  <c r="H154" i="6"/>
  <c r="O154" i="6" s="1"/>
  <c r="H170" i="6"/>
  <c r="O170" i="6" s="1"/>
  <c r="H183" i="6"/>
  <c r="O183" i="6" s="1"/>
  <c r="H187" i="6"/>
  <c r="H219" i="6"/>
  <c r="O219" i="6" s="1"/>
  <c r="H138" i="6"/>
  <c r="O138" i="6" s="1"/>
  <c r="H214" i="6"/>
  <c r="O214" i="6" s="1"/>
  <c r="M219" i="6"/>
  <c r="H217" i="6"/>
  <c r="O217" i="6" s="1"/>
  <c r="H136" i="6"/>
  <c r="H140" i="6"/>
  <c r="H141" i="6"/>
  <c r="O141" i="6" s="1"/>
  <c r="H145" i="6"/>
  <c r="N145" i="6" s="1"/>
  <c r="H164" i="6"/>
  <c r="H165" i="6"/>
  <c r="O165" i="6" s="1"/>
  <c r="H169" i="6"/>
  <c r="O169" i="6" s="1"/>
  <c r="M171" i="6"/>
  <c r="H178" i="6"/>
  <c r="O178" i="6" s="1"/>
  <c r="M181" i="6"/>
  <c r="N181" i="6" s="1"/>
  <c r="M185" i="6"/>
  <c r="N185" i="6" s="1"/>
  <c r="L185" i="6" s="1"/>
  <c r="M116" i="6"/>
  <c r="M136" i="6"/>
  <c r="M141" i="6"/>
  <c r="H153" i="6"/>
  <c r="O153" i="6" s="1"/>
  <c r="M155" i="6"/>
  <c r="M160" i="6"/>
  <c r="H162" i="6"/>
  <c r="O162" i="6" s="1"/>
  <c r="M184" i="6"/>
  <c r="H81" i="6"/>
  <c r="O81" i="6" s="1"/>
  <c r="M139" i="6"/>
  <c r="H142" i="6"/>
  <c r="O142" i="6" s="1"/>
  <c r="M144" i="6"/>
  <c r="H146" i="6"/>
  <c r="O146" i="6" s="1"/>
  <c r="H173" i="6"/>
  <c r="O173" i="6" s="1"/>
  <c r="H177" i="6"/>
  <c r="H182" i="6"/>
  <c r="O182" i="6" s="1"/>
  <c r="H186" i="6"/>
  <c r="N186" i="6" s="1"/>
  <c r="M67" i="6"/>
  <c r="H85" i="6"/>
  <c r="O85" i="6" s="1"/>
  <c r="H89" i="6"/>
  <c r="O89" i="6" s="1"/>
  <c r="H93" i="6"/>
  <c r="O93" i="6" s="1"/>
  <c r="H97" i="6"/>
  <c r="H101" i="6"/>
  <c r="O101" i="6" s="1"/>
  <c r="H105" i="6"/>
  <c r="H109" i="6"/>
  <c r="H113" i="6"/>
  <c r="O113" i="6" s="1"/>
  <c r="H117" i="6"/>
  <c r="H121" i="6"/>
  <c r="H125" i="6"/>
  <c r="O125" i="6" s="1"/>
  <c r="H129" i="6"/>
  <c r="N129" i="6" s="1"/>
  <c r="H133" i="6"/>
  <c r="O133" i="6" s="1"/>
  <c r="H137" i="6"/>
  <c r="O137" i="6" s="1"/>
  <c r="M149" i="6"/>
  <c r="N149" i="6" s="1"/>
  <c r="H152" i="6"/>
  <c r="O152" i="6" s="1"/>
  <c r="H158" i="6"/>
  <c r="O158" i="6" s="1"/>
  <c r="H163" i="6"/>
  <c r="O163" i="6" s="1"/>
  <c r="M165" i="6"/>
  <c r="H168" i="6"/>
  <c r="O168" i="6" s="1"/>
  <c r="H174" i="6"/>
  <c r="O174" i="6" s="1"/>
  <c r="H179" i="6"/>
  <c r="O179" i="6" s="1"/>
  <c r="H188" i="6"/>
  <c r="O188" i="6" s="1"/>
  <c r="H192" i="6"/>
  <c r="M193" i="6"/>
  <c r="H200" i="6"/>
  <c r="O200" i="6" s="1"/>
  <c r="M201" i="6"/>
  <c r="M205" i="6"/>
  <c r="N205" i="6" s="1"/>
  <c r="M209" i="6"/>
  <c r="M213" i="6"/>
  <c r="N213" i="6" s="1"/>
  <c r="M217" i="6"/>
  <c r="N217" i="6" s="1"/>
  <c r="M65" i="6"/>
  <c r="M70" i="6"/>
  <c r="M87" i="6"/>
  <c r="M91" i="6"/>
  <c r="N91" i="6" s="1"/>
  <c r="M95" i="6"/>
  <c r="M99" i="6"/>
  <c r="M103" i="6"/>
  <c r="M107" i="6"/>
  <c r="N107" i="6" s="1"/>
  <c r="M111" i="6"/>
  <c r="M127" i="6"/>
  <c r="M131" i="6"/>
  <c r="M147" i="6"/>
  <c r="M152" i="6"/>
  <c r="M163" i="6"/>
  <c r="M168" i="6"/>
  <c r="M179" i="6"/>
  <c r="M188" i="6"/>
  <c r="M192" i="6"/>
  <c r="M196" i="6"/>
  <c r="M200" i="6"/>
  <c r="H111" i="6"/>
  <c r="O111" i="6" s="1"/>
  <c r="H115" i="6"/>
  <c r="O115" i="6" s="1"/>
  <c r="H119" i="6"/>
  <c r="O119" i="6" s="1"/>
  <c r="H123" i="6"/>
  <c r="O123" i="6" s="1"/>
  <c r="H127" i="6"/>
  <c r="O127" i="6" s="1"/>
  <c r="H131" i="6"/>
  <c r="H144" i="6"/>
  <c r="O144" i="6" s="1"/>
  <c r="H150" i="6"/>
  <c r="O150" i="6" s="1"/>
  <c r="H155" i="6"/>
  <c r="O155" i="6" s="1"/>
  <c r="H160" i="6"/>
  <c r="H166" i="6"/>
  <c r="O166" i="6" s="1"/>
  <c r="H171" i="6"/>
  <c r="O171" i="6" s="1"/>
  <c r="H176" i="6"/>
  <c r="N176" i="6" s="1"/>
  <c r="H184" i="6"/>
  <c r="H80" i="6"/>
  <c r="O80" i="6" s="1"/>
  <c r="M86" i="6"/>
  <c r="M90" i="6"/>
  <c r="M94" i="6"/>
  <c r="M98" i="6"/>
  <c r="M102" i="6"/>
  <c r="M106" i="6"/>
  <c r="M110" i="6"/>
  <c r="M114" i="6"/>
  <c r="M118" i="6"/>
  <c r="M122" i="6"/>
  <c r="M126" i="6"/>
  <c r="M130" i="6"/>
  <c r="M134" i="6"/>
  <c r="H139" i="6"/>
  <c r="O139" i="6" s="1"/>
  <c r="M142" i="6"/>
  <c r="H147" i="6"/>
  <c r="O147" i="6" s="1"/>
  <c r="M150" i="6"/>
  <c r="M158" i="6"/>
  <c r="N158" i="6" s="1"/>
  <c r="L158" i="6" s="1"/>
  <c r="M166" i="6"/>
  <c r="M174" i="6"/>
  <c r="M218" i="6"/>
  <c r="M80" i="6"/>
  <c r="M115" i="6"/>
  <c r="N115" i="6" s="1"/>
  <c r="M119" i="6"/>
  <c r="M123" i="6"/>
  <c r="H190" i="6"/>
  <c r="H191" i="6"/>
  <c r="H195" i="6"/>
  <c r="O195" i="6" s="1"/>
  <c r="H196" i="6"/>
  <c r="O196" i="6" s="1"/>
  <c r="H197" i="6"/>
  <c r="O197" i="6" s="1"/>
  <c r="H198" i="6"/>
  <c r="H199" i="6"/>
  <c r="O199" i="6" s="1"/>
  <c r="H201" i="6"/>
  <c r="O201" i="6" s="1"/>
  <c r="H203" i="6"/>
  <c r="O203" i="6" s="1"/>
  <c r="H204" i="6"/>
  <c r="H208" i="6"/>
  <c r="H212" i="6"/>
  <c r="O212" i="6" s="1"/>
  <c r="H216" i="6"/>
  <c r="M75" i="6"/>
  <c r="M77" i="6"/>
  <c r="M84" i="6"/>
  <c r="M88" i="6"/>
  <c r="M92" i="6"/>
  <c r="M96" i="6"/>
  <c r="M100" i="6"/>
  <c r="M104" i="6"/>
  <c r="M108" i="6"/>
  <c r="M112" i="6"/>
  <c r="M120" i="6"/>
  <c r="M124" i="6"/>
  <c r="M128" i="6"/>
  <c r="M132" i="6"/>
  <c r="H135" i="6"/>
  <c r="O135" i="6" s="1"/>
  <c r="M137" i="6"/>
  <c r="M138" i="6"/>
  <c r="H143" i="6"/>
  <c r="O143" i="6" s="1"/>
  <c r="M145" i="6"/>
  <c r="M146" i="6"/>
  <c r="H151" i="6"/>
  <c r="O151" i="6" s="1"/>
  <c r="M153" i="6"/>
  <c r="M154" i="6"/>
  <c r="N154" i="6" s="1"/>
  <c r="L154" i="6" s="1"/>
  <c r="H159" i="6"/>
  <c r="O159" i="6" s="1"/>
  <c r="M161" i="6"/>
  <c r="M162" i="6"/>
  <c r="H167" i="6"/>
  <c r="O167" i="6" s="1"/>
  <c r="M169" i="6"/>
  <c r="M170" i="6"/>
  <c r="H175" i="6"/>
  <c r="O175" i="6" s="1"/>
  <c r="M177" i="6"/>
  <c r="N177" i="6" s="1"/>
  <c r="M178" i="6"/>
  <c r="N178" i="6" s="1"/>
  <c r="L178" i="6" s="1"/>
  <c r="M183" i="6"/>
  <c r="M187" i="6"/>
  <c r="M189" i="6"/>
  <c r="N189" i="6" s="1"/>
  <c r="L189" i="6" s="1"/>
  <c r="M191" i="6"/>
  <c r="H194" i="6"/>
  <c r="M195" i="6"/>
  <c r="M197" i="6"/>
  <c r="M199" i="6"/>
  <c r="H202" i="6"/>
  <c r="M203" i="6"/>
  <c r="M204" i="6"/>
  <c r="N204" i="6" s="1"/>
  <c r="H207" i="6"/>
  <c r="O207" i="6" s="1"/>
  <c r="M208" i="6"/>
  <c r="H211" i="6"/>
  <c r="M212" i="6"/>
  <c r="N212" i="6" s="1"/>
  <c r="H215" i="6"/>
  <c r="O215" i="6" s="1"/>
  <c r="M216" i="6"/>
  <c r="M74" i="6"/>
  <c r="M85" i="6"/>
  <c r="N85" i="6" s="1"/>
  <c r="L85" i="6" s="1"/>
  <c r="M89" i="6"/>
  <c r="M93" i="6"/>
  <c r="M105" i="6"/>
  <c r="M109" i="6"/>
  <c r="M135" i="6"/>
  <c r="M143" i="6"/>
  <c r="M151" i="6"/>
  <c r="N151" i="6" s="1"/>
  <c r="L151" i="6" s="1"/>
  <c r="M159" i="6"/>
  <c r="M167" i="6"/>
  <c r="M175" i="6"/>
  <c r="H180" i="6"/>
  <c r="O180" i="6" s="1"/>
  <c r="O187" i="6"/>
  <c r="O192" i="6"/>
  <c r="M194" i="6"/>
  <c r="M202" i="6"/>
  <c r="N202" i="6" s="1"/>
  <c r="H206" i="6"/>
  <c r="O206" i="6" s="1"/>
  <c r="M207" i="6"/>
  <c r="H210" i="6"/>
  <c r="M211" i="6"/>
  <c r="N211" i="6" s="1"/>
  <c r="M215" i="6"/>
  <c r="H218" i="6"/>
  <c r="O218" i="6" s="1"/>
  <c r="M76" i="6"/>
  <c r="M73" i="6"/>
  <c r="M72" i="6"/>
  <c r="M71" i="6"/>
  <c r="M69" i="6"/>
  <c r="M68" i="6"/>
  <c r="H82" i="6"/>
  <c r="O82" i="6" s="1"/>
  <c r="M81" i="6"/>
  <c r="H67" i="6"/>
  <c r="O67" i="6" s="1"/>
  <c r="H68" i="6"/>
  <c r="O68" i="6" s="1"/>
  <c r="H69" i="6"/>
  <c r="O69" i="6" s="1"/>
  <c r="H70" i="6"/>
  <c r="N70" i="6" s="1"/>
  <c r="H71" i="6"/>
  <c r="O71" i="6" s="1"/>
  <c r="H72" i="6"/>
  <c r="O72" i="6" s="1"/>
  <c r="H73" i="6"/>
  <c r="O73" i="6" s="1"/>
  <c r="H74" i="6"/>
  <c r="H75" i="6"/>
  <c r="O75" i="6" s="1"/>
  <c r="H76" i="6"/>
  <c r="O76" i="6" s="1"/>
  <c r="H77" i="6"/>
  <c r="O77" i="6" s="1"/>
  <c r="M64" i="6"/>
  <c r="H64" i="6"/>
  <c r="O64" i="6" s="1"/>
  <c r="H65" i="6"/>
  <c r="O184" i="6"/>
  <c r="N153" i="6"/>
  <c r="O161" i="6"/>
  <c r="N161" i="6"/>
  <c r="N169" i="6"/>
  <c r="O177" i="6"/>
  <c r="O148" i="6"/>
  <c r="N148" i="6"/>
  <c r="L148" i="6" s="1"/>
  <c r="O149" i="6"/>
  <c r="O157" i="6"/>
  <c r="N157" i="6"/>
  <c r="O172" i="6"/>
  <c r="N175" i="6"/>
  <c r="L175" i="6" s="1"/>
  <c r="N180" i="6"/>
  <c r="N113" i="6"/>
  <c r="N117" i="6"/>
  <c r="H84" i="6"/>
  <c r="H86" i="6"/>
  <c r="H88" i="6"/>
  <c r="H90" i="6"/>
  <c r="H92" i="6"/>
  <c r="H94" i="6"/>
  <c r="H96" i="6"/>
  <c r="H98" i="6"/>
  <c r="H100" i="6"/>
  <c r="H102" i="6"/>
  <c r="H104" i="6"/>
  <c r="H106" i="6"/>
  <c r="H108" i="6"/>
  <c r="H110" i="6"/>
  <c r="H112" i="6"/>
  <c r="H114" i="6"/>
  <c r="H116" i="6"/>
  <c r="H118" i="6"/>
  <c r="H120" i="6"/>
  <c r="H122" i="6"/>
  <c r="H124" i="6"/>
  <c r="H126" i="6"/>
  <c r="H128" i="6"/>
  <c r="H130" i="6"/>
  <c r="H132" i="6"/>
  <c r="H134" i="6"/>
  <c r="N167" i="6"/>
  <c r="L167" i="6" s="1"/>
  <c r="N183" i="6"/>
  <c r="L183" i="6" s="1"/>
  <c r="O186" i="6"/>
  <c r="O191" i="6"/>
  <c r="N194" i="6"/>
  <c r="O194" i="6"/>
  <c r="N195" i="6"/>
  <c r="L195" i="6" s="1"/>
  <c r="O204" i="6"/>
  <c r="N93" i="6"/>
  <c r="L93" i="6" s="1"/>
  <c r="N111" i="6"/>
  <c r="O117" i="6"/>
  <c r="O129" i="6"/>
  <c r="O131" i="6"/>
  <c r="N207" i="6"/>
  <c r="O211" i="6"/>
  <c r="O91" i="6"/>
  <c r="N95" i="6"/>
  <c r="O95" i="6"/>
  <c r="O105" i="6"/>
  <c r="N198" i="6"/>
  <c r="O198" i="6"/>
  <c r="O202" i="6"/>
  <c r="N206" i="6"/>
  <c r="N193" i="6"/>
  <c r="L193" i="6" s="1"/>
  <c r="O205" i="6"/>
  <c r="O209" i="6"/>
  <c r="N209" i="6"/>
  <c r="O213" i="6"/>
  <c r="O208" i="6"/>
  <c r="N208" i="6"/>
  <c r="O210" i="6"/>
  <c r="N218" i="6"/>
  <c r="O79" i="6"/>
  <c r="N79" i="6"/>
  <c r="O145" i="6" l="1"/>
  <c r="N121" i="6"/>
  <c r="N78" i="6"/>
  <c r="N143" i="6"/>
  <c r="L143" i="6" s="1"/>
  <c r="O156" i="6"/>
  <c r="N141" i="6"/>
  <c r="N74" i="6"/>
  <c r="N210" i="6"/>
  <c r="N150" i="6"/>
  <c r="L150" i="6" s="1"/>
  <c r="N196" i="6"/>
  <c r="L196" i="6" s="1"/>
  <c r="N81" i="6"/>
  <c r="N135" i="6"/>
  <c r="L135" i="6" s="1"/>
  <c r="N89" i="6"/>
  <c r="N146" i="6"/>
  <c r="L146" i="6" s="1"/>
  <c r="N137" i="6"/>
  <c r="N190" i="6"/>
  <c r="N97" i="6"/>
  <c r="N164" i="6"/>
  <c r="N172" i="6"/>
  <c r="L161" i="6"/>
  <c r="L205" i="6"/>
  <c r="N136" i="6"/>
  <c r="N125" i="6"/>
  <c r="L125" i="6" s="1"/>
  <c r="N101" i="6"/>
  <c r="L101" i="6" s="1"/>
  <c r="N127" i="6"/>
  <c r="L127" i="6" s="1"/>
  <c r="N139" i="6"/>
  <c r="L139" i="6" s="1"/>
  <c r="L157" i="6"/>
  <c r="N152" i="6"/>
  <c r="L152" i="6" s="1"/>
  <c r="N65" i="6"/>
  <c r="N215" i="6"/>
  <c r="N77" i="6"/>
  <c r="O97" i="6"/>
  <c r="N155" i="6"/>
  <c r="L155" i="6" s="1"/>
  <c r="N138" i="6"/>
  <c r="L138" i="6" s="1"/>
  <c r="N173" i="6"/>
  <c r="O164" i="6"/>
  <c r="O176" i="6"/>
  <c r="O136" i="6"/>
  <c r="N168" i="6"/>
  <c r="N103" i="6"/>
  <c r="N87" i="6"/>
  <c r="N170" i="6"/>
  <c r="L170" i="6" s="1"/>
  <c r="N160" i="6"/>
  <c r="N192" i="6"/>
  <c r="L192" i="6" s="1"/>
  <c r="N99" i="6"/>
  <c r="N140" i="6"/>
  <c r="N131" i="6"/>
  <c r="L213" i="6"/>
  <c r="N105" i="6"/>
  <c r="N184" i="6"/>
  <c r="L184" i="6" s="1"/>
  <c r="N219" i="6"/>
  <c r="L164" i="6"/>
  <c r="L156" i="6"/>
  <c r="L172" i="6"/>
  <c r="L177" i="6"/>
  <c r="N216" i="6"/>
  <c r="O216" i="6"/>
  <c r="N119" i="6"/>
  <c r="L119" i="6" s="1"/>
  <c r="N166" i="6"/>
  <c r="L166" i="6" s="1"/>
  <c r="N187" i="6"/>
  <c r="N182" i="6"/>
  <c r="L182" i="6" s="1"/>
  <c r="O190" i="6"/>
  <c r="L168" i="6"/>
  <c r="N203" i="6"/>
  <c r="L203" i="6" s="1"/>
  <c r="N174" i="6"/>
  <c r="L174" i="6" s="1"/>
  <c r="N163" i="6"/>
  <c r="L163" i="6" s="1"/>
  <c r="N142" i="6"/>
  <c r="L142" i="6" s="1"/>
  <c r="O121" i="6"/>
  <c r="L121" i="6" s="1"/>
  <c r="O140" i="6"/>
  <c r="O160" i="6"/>
  <c r="N144" i="6"/>
  <c r="L144" i="6" s="1"/>
  <c r="L89" i="6"/>
  <c r="L153" i="6"/>
  <c r="L198" i="6"/>
  <c r="N80" i="6"/>
  <c r="L80" i="6" s="1"/>
  <c r="N133" i="6"/>
  <c r="L133" i="6" s="1"/>
  <c r="L97" i="6"/>
  <c r="L111" i="6"/>
  <c r="L186" i="6"/>
  <c r="N162" i="6"/>
  <c r="L162" i="6" s="1"/>
  <c r="L181" i="6"/>
  <c r="L173" i="6"/>
  <c r="N200" i="6"/>
  <c r="N179" i="6"/>
  <c r="L179" i="6" s="1"/>
  <c r="N165" i="6"/>
  <c r="L211" i="6"/>
  <c r="L169" i="6"/>
  <c r="L137" i="6"/>
  <c r="L216" i="6"/>
  <c r="L115" i="6"/>
  <c r="L141" i="6"/>
  <c r="L176" i="6"/>
  <c r="L209" i="6"/>
  <c r="L95" i="6"/>
  <c r="N147" i="6"/>
  <c r="L147" i="6" s="1"/>
  <c r="L107" i="6"/>
  <c r="N201" i="6"/>
  <c r="L201" i="6" s="1"/>
  <c r="N109" i="6"/>
  <c r="L202" i="6"/>
  <c r="L210" i="6"/>
  <c r="L131" i="6"/>
  <c r="N171" i="6"/>
  <c r="L171" i="6" s="1"/>
  <c r="L145" i="6"/>
  <c r="L187" i="6"/>
  <c r="N123" i="6"/>
  <c r="L123" i="6" s="1"/>
  <c r="O109" i="6"/>
  <c r="L109" i="6" s="1"/>
  <c r="L200" i="6"/>
  <c r="N188" i="6"/>
  <c r="L188" i="6" s="1"/>
  <c r="N73" i="6"/>
  <c r="L73" i="6" s="1"/>
  <c r="L214" i="6"/>
  <c r="L219" i="6"/>
  <c r="L212" i="6"/>
  <c r="L217" i="6"/>
  <c r="N197" i="6"/>
  <c r="L197" i="6" s="1"/>
  <c r="L129" i="6"/>
  <c r="L204" i="6"/>
  <c r="N159" i="6"/>
  <c r="L159" i="6" s="1"/>
  <c r="L91" i="6"/>
  <c r="N72" i="6"/>
  <c r="L72" i="6" s="1"/>
  <c r="N191" i="6"/>
  <c r="L191" i="6" s="1"/>
  <c r="L218" i="6"/>
  <c r="L208" i="6"/>
  <c r="L206" i="6"/>
  <c r="L103" i="6"/>
  <c r="L117" i="6"/>
  <c r="L87" i="6"/>
  <c r="L165" i="6"/>
  <c r="L149" i="6"/>
  <c r="L136" i="6"/>
  <c r="N68" i="6"/>
  <c r="L68" i="6" s="1"/>
  <c r="L99" i="6"/>
  <c r="L113" i="6"/>
  <c r="N76" i="6"/>
  <c r="L76" i="6" s="1"/>
  <c r="L78" i="6"/>
  <c r="L215" i="6"/>
  <c r="L190" i="6"/>
  <c r="L105" i="6"/>
  <c r="L207" i="6"/>
  <c r="L194" i="6"/>
  <c r="L180" i="6"/>
  <c r="L140" i="6"/>
  <c r="L160" i="6"/>
  <c r="N82" i="6"/>
  <c r="L82" i="6" s="1"/>
  <c r="N199" i="6"/>
  <c r="L199" i="6" s="1"/>
  <c r="L81" i="6"/>
  <c r="N69" i="6"/>
  <c r="L69" i="6" s="1"/>
  <c r="L79" i="6"/>
  <c r="O74" i="6"/>
  <c r="L74" i="6" s="1"/>
  <c r="O70" i="6"/>
  <c r="L70" i="6" s="1"/>
  <c r="N75" i="6"/>
  <c r="L75" i="6" s="1"/>
  <c r="N71" i="6"/>
  <c r="L71" i="6" s="1"/>
  <c r="N67" i="6"/>
  <c r="L67" i="6" s="1"/>
  <c r="L77" i="6"/>
  <c r="O65" i="6"/>
  <c r="L65" i="6" s="1"/>
  <c r="N64" i="6"/>
  <c r="L64" i="6" s="1"/>
  <c r="N134" i="6"/>
  <c r="O134" i="6"/>
  <c r="N126" i="6"/>
  <c r="O126" i="6"/>
  <c r="N118" i="6"/>
  <c r="O118" i="6"/>
  <c r="N110" i="6"/>
  <c r="O110" i="6"/>
  <c r="N102" i="6"/>
  <c r="O102" i="6"/>
  <c r="N94" i="6"/>
  <c r="O94" i="6"/>
  <c r="N86" i="6"/>
  <c r="O86" i="6"/>
  <c r="N132" i="6"/>
  <c r="O132" i="6"/>
  <c r="N124" i="6"/>
  <c r="O124" i="6"/>
  <c r="N116" i="6"/>
  <c r="O116" i="6"/>
  <c r="N108" i="6"/>
  <c r="O108" i="6"/>
  <c r="N100" i="6"/>
  <c r="O100" i="6"/>
  <c r="N92" i="6"/>
  <c r="O92" i="6"/>
  <c r="N84" i="6"/>
  <c r="O84" i="6"/>
  <c r="N130" i="6"/>
  <c r="O130" i="6"/>
  <c r="N122" i="6"/>
  <c r="O122" i="6"/>
  <c r="N114" i="6"/>
  <c r="O114" i="6"/>
  <c r="N106" i="6"/>
  <c r="O106" i="6"/>
  <c r="N98" i="6"/>
  <c r="O98" i="6"/>
  <c r="N90" i="6"/>
  <c r="O90" i="6"/>
  <c r="N128" i="6"/>
  <c r="O128" i="6"/>
  <c r="N120" i="6"/>
  <c r="O120" i="6"/>
  <c r="N112" i="6"/>
  <c r="O112" i="6"/>
  <c r="N104" i="6"/>
  <c r="O104" i="6"/>
  <c r="N96" i="6"/>
  <c r="O96" i="6"/>
  <c r="N88" i="6"/>
  <c r="O88" i="6"/>
  <c r="G116" i="4"/>
  <c r="E119" i="4" s="1"/>
  <c r="D114" i="4"/>
  <c r="G114" i="4" s="1"/>
  <c r="L88" i="6" l="1"/>
  <c r="L104" i="6"/>
  <c r="L120" i="6"/>
  <c r="L90" i="6"/>
  <c r="L106" i="6"/>
  <c r="L122" i="6"/>
  <c r="L84" i="6"/>
  <c r="L100" i="6"/>
  <c r="L116" i="6"/>
  <c r="L132" i="6"/>
  <c r="L94" i="6"/>
  <c r="L110" i="6"/>
  <c r="L126" i="6"/>
  <c r="E120" i="4"/>
  <c r="L96" i="6"/>
  <c r="L112" i="6"/>
  <c r="L128" i="6"/>
  <c r="L98" i="6"/>
  <c r="L114" i="6"/>
  <c r="L130" i="6"/>
  <c r="L92" i="6"/>
  <c r="L108" i="6"/>
  <c r="L124" i="6"/>
  <c r="L86" i="6"/>
  <c r="L102" i="6"/>
  <c r="L118" i="6"/>
  <c r="L134" i="6"/>
  <c r="E118" i="4"/>
  <c r="G118" i="4" s="1"/>
  <c r="G119" i="4"/>
  <c r="G120" i="4"/>
  <c r="E117" i="4"/>
  <c r="G117" i="4" s="1"/>
  <c r="G100" i="4" l="1"/>
  <c r="E107" i="4" s="1"/>
  <c r="G107" i="4" s="1"/>
  <c r="D98" i="4"/>
  <c r="G98" i="4" s="1"/>
  <c r="E108" i="4" l="1"/>
  <c r="G108" i="4" s="1"/>
  <c r="E101" i="4"/>
  <c r="G101" i="4" s="1"/>
  <c r="E105" i="4"/>
  <c r="G105" i="4" s="1"/>
  <c r="E109" i="4"/>
  <c r="G109" i="4" s="1"/>
  <c r="E103" i="4"/>
  <c r="G103" i="4" s="1"/>
  <c r="E110" i="4"/>
  <c r="G110" i="4" s="1"/>
  <c r="E106" i="4"/>
  <c r="G106" i="4" s="1"/>
  <c r="E102" i="4"/>
  <c r="G102" i="4" s="1"/>
  <c r="E104" i="4"/>
  <c r="G104" i="4" s="1"/>
  <c r="K63" i="6" l="1"/>
  <c r="G63" i="6"/>
  <c r="D63" i="6"/>
  <c r="K62" i="6"/>
  <c r="G62" i="6"/>
  <c r="D62" i="6"/>
  <c r="K61" i="6"/>
  <c r="G61" i="6"/>
  <c r="D61" i="6"/>
  <c r="K60" i="6"/>
  <c r="G60" i="6"/>
  <c r="D60" i="6"/>
  <c r="K59" i="6"/>
  <c r="G59" i="6"/>
  <c r="D59" i="6"/>
  <c r="K58" i="6"/>
  <c r="G58" i="6"/>
  <c r="D58" i="6"/>
  <c r="K57" i="6"/>
  <c r="G57" i="6"/>
  <c r="D57" i="6"/>
  <c r="K56" i="6"/>
  <c r="G56" i="6"/>
  <c r="D56" i="6"/>
  <c r="K55" i="6"/>
  <c r="G55" i="6"/>
  <c r="D55" i="6"/>
  <c r="K54" i="6"/>
  <c r="G54" i="6"/>
  <c r="D54" i="6"/>
  <c r="K53" i="6"/>
  <c r="G53" i="6"/>
  <c r="D53" i="6"/>
  <c r="K52" i="6"/>
  <c r="G52" i="6"/>
  <c r="D52" i="6"/>
  <c r="K51" i="6"/>
  <c r="G51" i="6"/>
  <c r="D51" i="6"/>
  <c r="K50" i="6"/>
  <c r="G50" i="6"/>
  <c r="D50" i="6"/>
  <c r="H61" i="6" l="1"/>
  <c r="H53" i="6"/>
  <c r="O53" i="6" s="1"/>
  <c r="M54" i="6"/>
  <c r="H51" i="6"/>
  <c r="O51" i="6" s="1"/>
  <c r="H55" i="6"/>
  <c r="O55" i="6" s="1"/>
  <c r="M57" i="6"/>
  <c r="H59" i="6"/>
  <c r="H63" i="6"/>
  <c r="O63" i="6" s="1"/>
  <c r="M58" i="6"/>
  <c r="M53" i="6"/>
  <c r="N53" i="6" s="1"/>
  <c r="H57" i="6"/>
  <c r="O57" i="6" s="1"/>
  <c r="M55" i="6"/>
  <c r="M59" i="6"/>
  <c r="M63" i="6"/>
  <c r="M50" i="6"/>
  <c r="H52" i="6"/>
  <c r="O52" i="6" s="1"/>
  <c r="H56" i="6"/>
  <c r="H60" i="6"/>
  <c r="M62" i="6"/>
  <c r="M61" i="6"/>
  <c r="H50" i="6"/>
  <c r="O50" i="6" s="1"/>
  <c r="M52" i="6"/>
  <c r="H54" i="6"/>
  <c r="N54" i="6" s="1"/>
  <c r="M56" i="6"/>
  <c r="H58" i="6"/>
  <c r="N58" i="6" s="1"/>
  <c r="M60" i="6"/>
  <c r="H62" i="6"/>
  <c r="N62" i="6" s="1"/>
  <c r="M51" i="6"/>
  <c r="N51" i="6" s="1"/>
  <c r="O56" i="6"/>
  <c r="O60" i="6"/>
  <c r="O61" i="6"/>
  <c r="G38" i="6"/>
  <c r="G36" i="6"/>
  <c r="E47" i="7"/>
  <c r="E46" i="7"/>
  <c r="E45" i="7"/>
  <c r="E44" i="7"/>
  <c r="E43" i="7"/>
  <c r="E42" i="7"/>
  <c r="E41" i="7"/>
  <c r="E40" i="7"/>
  <c r="E39" i="7"/>
  <c r="E38" i="7"/>
  <c r="N57" i="6" l="1"/>
  <c r="N59" i="6"/>
  <c r="N61" i="6"/>
  <c r="L61" i="6" s="1"/>
  <c r="O59" i="6"/>
  <c r="L59" i="6" s="1"/>
  <c r="O62" i="6"/>
  <c r="L62" i="6" s="1"/>
  <c r="O54" i="6"/>
  <c r="L54" i="6" s="1"/>
  <c r="N63" i="6"/>
  <c r="L63" i="6" s="1"/>
  <c r="N50" i="6"/>
  <c r="L50" i="6" s="1"/>
  <c r="O58" i="6"/>
  <c r="L58" i="6" s="1"/>
  <c r="N60" i="6"/>
  <c r="L60" i="6" s="1"/>
  <c r="N56" i="6"/>
  <c r="L56" i="6" s="1"/>
  <c r="N55" i="6"/>
  <c r="L55" i="6" s="1"/>
  <c r="N52" i="6"/>
  <c r="L52" i="6" s="1"/>
  <c r="L57" i="6"/>
  <c r="L51" i="6"/>
  <c r="L53" i="6"/>
  <c r="E34" i="7" l="1"/>
  <c r="E37" i="7" l="1"/>
  <c r="E36" i="7"/>
  <c r="E35" i="7"/>
  <c r="E33" i="7"/>
  <c r="E32" i="7"/>
  <c r="E31" i="7"/>
  <c r="E30" i="7"/>
  <c r="E29" i="7"/>
  <c r="E28" i="7"/>
  <c r="E27" i="7"/>
  <c r="E26" i="7"/>
  <c r="E25" i="7"/>
  <c r="E23" i="7"/>
  <c r="E22" i="7"/>
  <c r="E21" i="7"/>
  <c r="E20" i="7"/>
  <c r="E19" i="7"/>
  <c r="E18" i="7"/>
  <c r="E17" i="7"/>
  <c r="E16" i="7"/>
  <c r="E15" i="7"/>
  <c r="E14" i="7"/>
  <c r="E13" i="7"/>
  <c r="E12" i="7"/>
  <c r="E24" i="7"/>
  <c r="G55" i="4" l="1"/>
  <c r="D53" i="4"/>
  <c r="G53" i="4" s="1"/>
  <c r="E58" i="4" l="1"/>
  <c r="G58" i="4" s="1"/>
  <c r="E57" i="4"/>
  <c r="G57" i="4" s="1"/>
  <c r="E56" i="4"/>
  <c r="G56" i="4" s="1"/>
  <c r="G59" i="4"/>
  <c r="G8" i="4" l="1"/>
  <c r="E18" i="4" l="1"/>
  <c r="G18" i="4" s="1"/>
  <c r="E22" i="4"/>
  <c r="G22" i="4" s="1"/>
  <c r="E26" i="4"/>
  <c r="G26" i="4" s="1"/>
  <c r="E30" i="4"/>
  <c r="G30" i="4" s="1"/>
  <c r="E34" i="4"/>
  <c r="G34" i="4" s="1"/>
  <c r="E38" i="4"/>
  <c r="G38" i="4" s="1"/>
  <c r="E42" i="4"/>
  <c r="G42" i="4" s="1"/>
  <c r="E46" i="4"/>
  <c r="G46" i="4" s="1"/>
  <c r="E24" i="4"/>
  <c r="G24" i="4" s="1"/>
  <c r="E40" i="4"/>
  <c r="G40" i="4" s="1"/>
  <c r="E19" i="4"/>
  <c r="G19" i="4" s="1"/>
  <c r="E23" i="4"/>
  <c r="G23" i="4" s="1"/>
  <c r="E27" i="4"/>
  <c r="G27" i="4" s="1"/>
  <c r="E31" i="4"/>
  <c r="G31" i="4" s="1"/>
  <c r="E35" i="4"/>
  <c r="G35" i="4" s="1"/>
  <c r="E39" i="4"/>
  <c r="G39" i="4" s="1"/>
  <c r="E43" i="4"/>
  <c r="G43" i="4" s="1"/>
  <c r="E47" i="4"/>
  <c r="G47" i="4" s="1"/>
  <c r="E20" i="4"/>
  <c r="G20" i="4" s="1"/>
  <c r="E28" i="4"/>
  <c r="G28" i="4" s="1"/>
  <c r="E32" i="4"/>
  <c r="G32" i="4" s="1"/>
  <c r="E36" i="4"/>
  <c r="G36" i="4" s="1"/>
  <c r="E48" i="4"/>
  <c r="G48" i="4" s="1"/>
  <c r="E44" i="4"/>
  <c r="G44" i="4" s="1"/>
  <c r="E17" i="4"/>
  <c r="G17" i="4" s="1"/>
  <c r="E21" i="4"/>
  <c r="G21" i="4" s="1"/>
  <c r="E25" i="4"/>
  <c r="G25" i="4" s="1"/>
  <c r="E29" i="4"/>
  <c r="G29" i="4" s="1"/>
  <c r="E33" i="4"/>
  <c r="G33" i="4" s="1"/>
  <c r="E37" i="4"/>
  <c r="G37" i="4" s="1"/>
  <c r="E41" i="4"/>
  <c r="G41" i="4" s="1"/>
  <c r="E45" i="4"/>
  <c r="G45" i="4" s="1"/>
  <c r="E15" i="4"/>
  <c r="G15" i="4" s="1"/>
  <c r="E16" i="4"/>
  <c r="G16" i="4" s="1"/>
  <c r="E12" i="4"/>
  <c r="E13" i="4"/>
  <c r="G13" i="4" s="1"/>
  <c r="E14" i="4"/>
  <c r="G14" i="4" s="1"/>
  <c r="D4" i="6" l="1"/>
  <c r="G4" i="6"/>
  <c r="K4" i="6"/>
  <c r="E5" i="7"/>
  <c r="E6" i="7"/>
  <c r="E7" i="7"/>
  <c r="E8" i="7"/>
  <c r="E9" i="7"/>
  <c r="E10" i="7"/>
  <c r="E11" i="7"/>
  <c r="M4" i="6" l="1"/>
  <c r="H4" i="6"/>
  <c r="O4" i="6" l="1"/>
  <c r="N4" i="6"/>
  <c r="L4" i="6" l="1"/>
  <c r="D5" i="6" l="1"/>
  <c r="G5" i="6"/>
  <c r="K5" i="6"/>
  <c r="D6" i="6"/>
  <c r="G6" i="6"/>
  <c r="K6" i="6"/>
  <c r="D7" i="6"/>
  <c r="G7" i="6"/>
  <c r="K7" i="6"/>
  <c r="D8" i="6"/>
  <c r="G8" i="6"/>
  <c r="K8" i="6"/>
  <c r="D9" i="6"/>
  <c r="G9" i="6"/>
  <c r="K9" i="6"/>
  <c r="D10" i="6"/>
  <c r="G10" i="6"/>
  <c r="K10" i="6"/>
  <c r="D11" i="6"/>
  <c r="G11" i="6"/>
  <c r="K11" i="6"/>
  <c r="D12" i="6"/>
  <c r="G12" i="6"/>
  <c r="K12" i="6"/>
  <c r="D13" i="6"/>
  <c r="G13" i="6"/>
  <c r="K13" i="6"/>
  <c r="D14" i="6"/>
  <c r="G14" i="6"/>
  <c r="K14" i="6"/>
  <c r="D15" i="6"/>
  <c r="G15" i="6"/>
  <c r="K15" i="6"/>
  <c r="D16" i="6"/>
  <c r="G16" i="6"/>
  <c r="K16" i="6"/>
  <c r="D17" i="6"/>
  <c r="G17" i="6"/>
  <c r="K17" i="6"/>
  <c r="D18" i="6"/>
  <c r="G18" i="6"/>
  <c r="K18" i="6"/>
  <c r="D19" i="6"/>
  <c r="G19" i="6"/>
  <c r="K19" i="6"/>
  <c r="D20" i="6"/>
  <c r="G20" i="6"/>
  <c r="K20" i="6"/>
  <c r="D21" i="6"/>
  <c r="G21" i="6"/>
  <c r="K21" i="6"/>
  <c r="D22" i="6"/>
  <c r="G22" i="6"/>
  <c r="K22" i="6"/>
  <c r="D23" i="6"/>
  <c r="G23" i="6"/>
  <c r="K23" i="6"/>
  <c r="D25" i="6"/>
  <c r="G25" i="6"/>
  <c r="K25" i="6"/>
  <c r="D26" i="6"/>
  <c r="G26" i="6"/>
  <c r="K26" i="6"/>
  <c r="D27" i="6"/>
  <c r="G27" i="6"/>
  <c r="K27" i="6"/>
  <c r="D28" i="6"/>
  <c r="G28" i="6"/>
  <c r="K28" i="6"/>
  <c r="D29" i="6"/>
  <c r="G29" i="6"/>
  <c r="K29" i="6"/>
  <c r="D30" i="6"/>
  <c r="G30" i="6"/>
  <c r="K30" i="6"/>
  <c r="D31" i="6"/>
  <c r="G31" i="6"/>
  <c r="K31" i="6"/>
  <c r="D32" i="6"/>
  <c r="G32" i="6"/>
  <c r="K32" i="6"/>
  <c r="D33" i="6"/>
  <c r="G33" i="6"/>
  <c r="K33" i="6"/>
  <c r="D34" i="6"/>
  <c r="G34" i="6"/>
  <c r="K34" i="6"/>
  <c r="D36" i="6"/>
  <c r="K36" i="6"/>
  <c r="D37" i="6"/>
  <c r="G37" i="6"/>
  <c r="K37" i="6"/>
  <c r="D38" i="6"/>
  <c r="K38" i="6"/>
  <c r="D39" i="6"/>
  <c r="G39" i="6"/>
  <c r="K39" i="6"/>
  <c r="D40" i="6"/>
  <c r="G40" i="6"/>
  <c r="K40" i="6"/>
  <c r="D41" i="6"/>
  <c r="G41" i="6"/>
  <c r="K41" i="6"/>
  <c r="D42" i="6"/>
  <c r="G42" i="6"/>
  <c r="K42" i="6"/>
  <c r="D43" i="6"/>
  <c r="G43" i="6"/>
  <c r="K43" i="6"/>
  <c r="D44" i="6"/>
  <c r="G44" i="6"/>
  <c r="K44" i="6"/>
  <c r="D45" i="6"/>
  <c r="G45" i="6"/>
  <c r="K45" i="6"/>
  <c r="D46" i="6"/>
  <c r="G46" i="6"/>
  <c r="K46" i="6"/>
  <c r="D47" i="6"/>
  <c r="G47" i="6"/>
  <c r="K47" i="6"/>
  <c r="D48" i="6"/>
  <c r="G48" i="6"/>
  <c r="K48" i="6"/>
  <c r="M44" i="6" l="1"/>
  <c r="M36" i="6"/>
  <c r="M22" i="6"/>
  <c r="M18" i="6"/>
  <c r="M14" i="6"/>
  <c r="M10" i="6"/>
  <c r="H43" i="6"/>
  <c r="O43" i="6" s="1"/>
  <c r="H23" i="6"/>
  <c r="O23" i="6" s="1"/>
  <c r="H19" i="6"/>
  <c r="O19" i="6" s="1"/>
  <c r="H15" i="6"/>
  <c r="H11" i="6"/>
  <c r="O11" i="6" s="1"/>
  <c r="H5" i="6"/>
  <c r="O5" i="6" s="1"/>
  <c r="M6" i="6"/>
  <c r="M41" i="6"/>
  <c r="M39" i="6"/>
  <c r="M37" i="6"/>
  <c r="H22" i="6"/>
  <c r="O22" i="6" s="1"/>
  <c r="M21" i="6"/>
  <c r="H18" i="6"/>
  <c r="M17" i="6"/>
  <c r="M13" i="6"/>
  <c r="H10" i="6"/>
  <c r="O10" i="6" s="1"/>
  <c r="M9" i="6"/>
  <c r="M7" i="6"/>
  <c r="M45" i="6"/>
  <c r="M43" i="6"/>
  <c r="M33" i="6"/>
  <c r="M29" i="6"/>
  <c r="M25" i="6"/>
  <c r="M23" i="6"/>
  <c r="H20" i="6"/>
  <c r="M19" i="6"/>
  <c r="M15" i="6"/>
  <c r="H12" i="6"/>
  <c r="M11" i="6"/>
  <c r="H8" i="6"/>
  <c r="O8" i="6" s="1"/>
  <c r="H7" i="6"/>
  <c r="O7" i="6" s="1"/>
  <c r="H6" i="6"/>
  <c r="O6" i="6" s="1"/>
  <c r="M5" i="6"/>
  <c r="M46" i="6"/>
  <c r="H45" i="6"/>
  <c r="O45" i="6" s="1"/>
  <c r="M34" i="6"/>
  <c r="M30" i="6"/>
  <c r="M26" i="6"/>
  <c r="M20" i="6"/>
  <c r="M16" i="6"/>
  <c r="H13" i="6"/>
  <c r="M12" i="6"/>
  <c r="H9" i="6"/>
  <c r="O9" i="6" s="1"/>
  <c r="M8" i="6"/>
  <c r="H46" i="6"/>
  <c r="O46" i="6" s="1"/>
  <c r="H34" i="6"/>
  <c r="O34" i="6" s="1"/>
  <c r="H14" i="6"/>
  <c r="O14" i="6" s="1"/>
  <c r="H47" i="6"/>
  <c r="O47" i="6" s="1"/>
  <c r="H42" i="6"/>
  <c r="O42" i="6" s="1"/>
  <c r="H41" i="6"/>
  <c r="O41" i="6" s="1"/>
  <c r="M38" i="6"/>
  <c r="M28" i="6"/>
  <c r="M42" i="6"/>
  <c r="M31" i="6"/>
  <c r="M27" i="6"/>
  <c r="M47" i="6"/>
  <c r="M48" i="6"/>
  <c r="M32" i="6"/>
  <c r="H36" i="6"/>
  <c r="O36" i="6" s="1"/>
  <c r="H39" i="6"/>
  <c r="O39" i="6" s="1"/>
  <c r="H38" i="6"/>
  <c r="O38" i="6" s="1"/>
  <c r="H32" i="6"/>
  <c r="O32" i="6" s="1"/>
  <c r="H31" i="6"/>
  <c r="O31" i="6" s="1"/>
  <c r="H30" i="6"/>
  <c r="O30" i="6" s="1"/>
  <c r="H28" i="6"/>
  <c r="O28" i="6" s="1"/>
  <c r="H27" i="6"/>
  <c r="H26" i="6"/>
  <c r="O26" i="6" s="1"/>
  <c r="M40" i="6"/>
  <c r="H48" i="6"/>
  <c r="H44" i="6"/>
  <c r="H40" i="6"/>
  <c r="H37" i="6"/>
  <c r="H33" i="6"/>
  <c r="H29" i="6"/>
  <c r="H25" i="6"/>
  <c r="H21" i="6"/>
  <c r="H17" i="6"/>
  <c r="H16" i="6"/>
  <c r="N18" i="6" l="1"/>
  <c r="N6" i="6"/>
  <c r="L6" i="6" s="1"/>
  <c r="N19" i="6"/>
  <c r="L19" i="6" s="1"/>
  <c r="N22" i="6"/>
  <c r="L22" i="6" s="1"/>
  <c r="N27" i="6"/>
  <c r="N11" i="6"/>
  <c r="L11" i="6" s="1"/>
  <c r="N20" i="6"/>
  <c r="N15" i="6"/>
  <c r="N14" i="6"/>
  <c r="L14" i="6" s="1"/>
  <c r="N5" i="6"/>
  <c r="L5" i="6" s="1"/>
  <c r="N9" i="6"/>
  <c r="L9" i="6" s="1"/>
  <c r="N10" i="6"/>
  <c r="L10" i="6" s="1"/>
  <c r="N13" i="6"/>
  <c r="N23" i="6"/>
  <c r="L23" i="6" s="1"/>
  <c r="N7" i="6"/>
  <c r="L7" i="6" s="1"/>
  <c r="O20" i="6"/>
  <c r="N12" i="6"/>
  <c r="O15" i="6"/>
  <c r="N38" i="6"/>
  <c r="L38" i="6" s="1"/>
  <c r="N45" i="6"/>
  <c r="L45" i="6" s="1"/>
  <c r="N43" i="6"/>
  <c r="L43" i="6" s="1"/>
  <c r="O12" i="6"/>
  <c r="O18" i="6"/>
  <c r="O13" i="6"/>
  <c r="N34" i="6"/>
  <c r="L34" i="6" s="1"/>
  <c r="N46" i="6"/>
  <c r="L46" i="6" s="1"/>
  <c r="N30" i="6"/>
  <c r="L30" i="6" s="1"/>
  <c r="N26" i="6"/>
  <c r="L26" i="6" s="1"/>
  <c r="N8" i="6"/>
  <c r="L8" i="6" s="1"/>
  <c r="N31" i="6"/>
  <c r="L31" i="6" s="1"/>
  <c r="N28" i="6"/>
  <c r="L28" i="6" s="1"/>
  <c r="N41" i="6"/>
  <c r="L41" i="6" s="1"/>
  <c r="N32" i="6"/>
  <c r="L32" i="6" s="1"/>
  <c r="O27" i="6"/>
  <c r="N36" i="6"/>
  <c r="L36" i="6" s="1"/>
  <c r="N42" i="6"/>
  <c r="L42" i="6" s="1"/>
  <c r="N39" i="6"/>
  <c r="L39" i="6" s="1"/>
  <c r="N47" i="6"/>
  <c r="L47" i="6" s="1"/>
  <c r="N21" i="6"/>
  <c r="O21" i="6"/>
  <c r="N37" i="6"/>
  <c r="O37" i="6"/>
  <c r="N25" i="6"/>
  <c r="O25" i="6"/>
  <c r="O40" i="6"/>
  <c r="N40" i="6"/>
  <c r="N29" i="6"/>
  <c r="O29" i="6"/>
  <c r="O44" i="6"/>
  <c r="N44" i="6"/>
  <c r="N16" i="6"/>
  <c r="O16" i="6"/>
  <c r="N17" i="6"/>
  <c r="O17" i="6"/>
  <c r="N33" i="6"/>
  <c r="O33" i="6"/>
  <c r="O48" i="6"/>
  <c r="N48" i="6"/>
  <c r="L18" i="6" l="1"/>
  <c r="L13" i="6"/>
  <c r="L20" i="6"/>
  <c r="L27" i="6"/>
  <c r="L12" i="6"/>
  <c r="L15" i="6"/>
  <c r="L44" i="6"/>
  <c r="L48" i="6"/>
  <c r="L29" i="6"/>
  <c r="L37" i="6"/>
  <c r="L17" i="6"/>
  <c r="L25" i="6"/>
  <c r="L21" i="6"/>
  <c r="L33" i="6"/>
  <c r="L16" i="6"/>
  <c r="L40" i="6"/>
  <c r="D6" i="4" l="1"/>
  <c r="G6" i="4" s="1"/>
  <c r="G12" i="4" l="1"/>
  <c r="E9" i="4"/>
  <c r="G9" i="4" s="1"/>
  <c r="E10" i="4"/>
  <c r="G10" i="4" s="1"/>
  <c r="E11" i="4"/>
  <c r="G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5" authorId="0" shapeId="0" xr:uid="{25A1BD1F-210B-46BB-8814-1A22FC8AE39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Verificar (Jalar)
- Normalidad de sulfato ferroso
- Blanco de muestra (por cada 20)</t>
        </r>
      </text>
    </comment>
  </commentList>
</comments>
</file>

<file path=xl/sharedStrings.xml><?xml version="1.0" encoding="utf-8"?>
<sst xmlns="http://schemas.openxmlformats.org/spreadsheetml/2006/main" count="937" uniqueCount="406">
  <si>
    <t xml:space="preserve">Calculo de Macro Nutrientes en Suelos </t>
  </si>
  <si>
    <t>R</t>
  </si>
  <si>
    <t xml:space="preserve">     Intercambiables</t>
  </si>
  <si>
    <t>Fecha</t>
  </si>
  <si>
    <t>NO. LAB</t>
  </si>
  <si>
    <t>PESO</t>
  </si>
  <si>
    <t>PPM Ca</t>
  </si>
  <si>
    <t>PPM Mg</t>
  </si>
  <si>
    <t>PPM K</t>
  </si>
  <si>
    <t>PPM NA</t>
  </si>
  <si>
    <t>blk</t>
  </si>
  <si>
    <t>Ca</t>
  </si>
  <si>
    <t>Mg</t>
  </si>
  <si>
    <t>K</t>
  </si>
  <si>
    <t>Na</t>
  </si>
  <si>
    <t>(Meq/100g)</t>
  </si>
  <si>
    <t>Control</t>
  </si>
  <si>
    <t xml:space="preserve">             Calculo de Micro Nutrientes en Suelos </t>
  </si>
  <si>
    <t>No. LAB.</t>
  </si>
  <si>
    <t>PESO (g)</t>
  </si>
  <si>
    <t>CONC. Cu</t>
  </si>
  <si>
    <t>CONC. Zn</t>
  </si>
  <si>
    <t>CONC. Fe</t>
  </si>
  <si>
    <t>CONC. Mn</t>
  </si>
  <si>
    <t>Conc K</t>
  </si>
  <si>
    <t>BLK Cu</t>
  </si>
  <si>
    <t>BLK Zn</t>
  </si>
  <si>
    <t>BLK Fe</t>
  </si>
  <si>
    <t>BLK Mn</t>
  </si>
  <si>
    <t>Blk K</t>
  </si>
  <si>
    <t>PPM  Cu</t>
  </si>
  <si>
    <t>PPM Zn</t>
  </si>
  <si>
    <t>PPM Fe</t>
  </si>
  <si>
    <t>PPM Mn</t>
  </si>
  <si>
    <t>S- 102-01-21</t>
  </si>
  <si>
    <t>S- 103-01-21</t>
  </si>
  <si>
    <t>S- 104-01-21</t>
  </si>
  <si>
    <t>S- 105-01-21</t>
  </si>
  <si>
    <t xml:space="preserve">Calculo de Análisis de Fósforo en Suelos </t>
  </si>
  <si>
    <t>No. Lab</t>
  </si>
  <si>
    <t>Blanco</t>
  </si>
  <si>
    <t>Absorbancia</t>
  </si>
  <si>
    <t>ppm en sol.</t>
  </si>
  <si>
    <t>ppm P en suelo</t>
  </si>
  <si>
    <t xml:space="preserve">Curva de calibración estandar     </t>
  </si>
  <si>
    <t xml:space="preserve"> Conductividad Electrica SUELOS </t>
  </si>
  <si>
    <t># De Lab.</t>
  </si>
  <si>
    <t>Lectura Conductividad</t>
  </si>
  <si>
    <t>Temperatura(°C)</t>
  </si>
  <si>
    <t>CE (dS m-1)</t>
  </si>
  <si>
    <t xml:space="preserve">Agua </t>
  </si>
  <si>
    <t xml:space="preserve">pH SUELOS </t>
  </si>
  <si>
    <t>pH (adimensional)</t>
  </si>
  <si>
    <t>S-3138-10-21</t>
  </si>
  <si>
    <t>S-3139-10-21</t>
  </si>
  <si>
    <t xml:space="preserve">          Calculo de % de Materia Orgánica en Suelos 2021</t>
  </si>
  <si>
    <t xml:space="preserve">                                      </t>
  </si>
  <si>
    <t>No. LAB</t>
  </si>
  <si>
    <t>Ml. Gast. Sulfato Ferroso-Blanco</t>
  </si>
  <si>
    <t>Ml. Gast. Sulfato Ferroso-Muestra</t>
  </si>
  <si>
    <t>% M.O.</t>
  </si>
  <si>
    <t>% C.O</t>
  </si>
  <si>
    <t>ml. Gast. Dicromato</t>
  </si>
  <si>
    <t>Promedio Tit.</t>
  </si>
  <si>
    <t>N= de Sulfato Ferroso</t>
  </si>
  <si>
    <t>ml. Gast. Blanco</t>
  </si>
  <si>
    <t>Promedio ml. Gast. Blanco</t>
  </si>
  <si>
    <t>Alto</t>
  </si>
  <si>
    <t>Medio</t>
  </si>
  <si>
    <t>Bajo</t>
  </si>
  <si>
    <t>S- 106-01-21</t>
  </si>
  <si>
    <t>S- 107-01-21</t>
  </si>
  <si>
    <t>S- 108-01-21</t>
  </si>
  <si>
    <t>S- 109-01-21</t>
  </si>
  <si>
    <t>S- 110-01-21</t>
  </si>
  <si>
    <t>S- 111-01-21</t>
  </si>
  <si>
    <t>S- 112-01-21</t>
  </si>
  <si>
    <t>S- 113-01-21</t>
  </si>
  <si>
    <t>S- 114-01-21</t>
  </si>
  <si>
    <t>S- 115-01-21</t>
  </si>
  <si>
    <t>S- 116-01-21</t>
  </si>
  <si>
    <t>S- 117-01-21</t>
  </si>
  <si>
    <t>S- 118-01-21</t>
  </si>
  <si>
    <t>S- 119-01-21</t>
  </si>
  <si>
    <t>S- 120-01-21</t>
  </si>
  <si>
    <t>S- 121-01-21</t>
  </si>
  <si>
    <t>S- 122-01-21</t>
  </si>
  <si>
    <t>S- 123-01-21</t>
  </si>
  <si>
    <t>S- 124-01-21</t>
  </si>
  <si>
    <t>S- 125-01-21</t>
  </si>
  <si>
    <t>S- 126-01-21</t>
  </si>
  <si>
    <t>S- 127-01-21</t>
  </si>
  <si>
    <t>S- 128-01-21</t>
  </si>
  <si>
    <t>S- 129-01-21</t>
  </si>
  <si>
    <t>S- 130-01-21</t>
  </si>
  <si>
    <t>S- 131-01-21</t>
  </si>
  <si>
    <t>S- 132-01-21</t>
  </si>
  <si>
    <t>S- 133-01-21</t>
  </si>
  <si>
    <t>S- 134-01-21</t>
  </si>
  <si>
    <t>S- 135-01-21</t>
  </si>
  <si>
    <t>S- 136-01-21</t>
  </si>
  <si>
    <t>S- 137-01-21</t>
  </si>
  <si>
    <t>S- 138-01-21</t>
  </si>
  <si>
    <t>S- 139-01-21</t>
  </si>
  <si>
    <t>S- 140-01-21</t>
  </si>
  <si>
    <t>S- 141-01-21</t>
  </si>
  <si>
    <t>S- 142-01-21</t>
  </si>
  <si>
    <t>S- 143-01-21</t>
  </si>
  <si>
    <t>S- 144-01-21</t>
  </si>
  <si>
    <t>S- 145-01-21</t>
  </si>
  <si>
    <t>S- 146-01-21</t>
  </si>
  <si>
    <t>S- 147-01-21</t>
  </si>
  <si>
    <t>S- 148-01-21</t>
  </si>
  <si>
    <t>S- 149-01-21</t>
  </si>
  <si>
    <t>S- 150-01-21</t>
  </si>
  <si>
    <t>S- 151-01-21</t>
  </si>
  <si>
    <t>S- 152-01-21</t>
  </si>
  <si>
    <t>S- 153-01-21</t>
  </si>
  <si>
    <t>S- 154-01-21</t>
  </si>
  <si>
    <t>S- 155-01-21</t>
  </si>
  <si>
    <t>S- 156-01-21</t>
  </si>
  <si>
    <t>S- 157-01-21</t>
  </si>
  <si>
    <t>S- 158-01-21</t>
  </si>
  <si>
    <t>S- 159-01-21</t>
  </si>
  <si>
    <t>S- 160-01-21</t>
  </si>
  <si>
    <t>S- 161-01-21</t>
  </si>
  <si>
    <t>S- 162-01-21</t>
  </si>
  <si>
    <t>S- 163-01-21</t>
  </si>
  <si>
    <t>S- 164-01-21</t>
  </si>
  <si>
    <t>S- 165-01-21</t>
  </si>
  <si>
    <t>S- 166-01-21</t>
  </si>
  <si>
    <t>S- 167-01-21</t>
  </si>
  <si>
    <t>S- 168-01-21</t>
  </si>
  <si>
    <t>S- 169-01-21</t>
  </si>
  <si>
    <t>S- 170-01-21</t>
  </si>
  <si>
    <t>S- 171-01-21</t>
  </si>
  <si>
    <t>S- 172-01-21</t>
  </si>
  <si>
    <t>S- 173-01-21</t>
  </si>
  <si>
    <t>S- 1231-03-21</t>
  </si>
  <si>
    <t>S- 1232-03-21</t>
  </si>
  <si>
    <t>S- 1233-03-21</t>
  </si>
  <si>
    <t>S- 1234-03-21</t>
  </si>
  <si>
    <t>S- 1235-03-21</t>
  </si>
  <si>
    <t>S- 1236-03-21</t>
  </si>
  <si>
    <t>S- 1415-04-21</t>
  </si>
  <si>
    <t>S- 1416-04-21</t>
  </si>
  <si>
    <t>S- 1417-04-21</t>
  </si>
  <si>
    <t>S- 1418-04-21</t>
  </si>
  <si>
    <t>S- 1419-04-21</t>
  </si>
  <si>
    <t>S- 1420-04-21</t>
  </si>
  <si>
    <t>S- 1421-04-21</t>
  </si>
  <si>
    <t>S- 1422-04-21</t>
  </si>
  <si>
    <t>S- 1423-04-21</t>
  </si>
  <si>
    <t>S- 1424-04-21</t>
  </si>
  <si>
    <t>S- 1503-04-21</t>
  </si>
  <si>
    <t>S- 1504-04-21</t>
  </si>
  <si>
    <t>S- 1591-04-21</t>
  </si>
  <si>
    <t>S- 1592-04-21</t>
  </si>
  <si>
    <t>S- 1593-04-21</t>
  </si>
  <si>
    <t>S- 1594-04-21</t>
  </si>
  <si>
    <t>S- 1595-04-21</t>
  </si>
  <si>
    <t>S- 1596-04-21</t>
  </si>
  <si>
    <t>S- 1597-04-21</t>
  </si>
  <si>
    <t>S- 1628-04-21</t>
  </si>
  <si>
    <t>S- 1629-04-21</t>
  </si>
  <si>
    <t>S- 1630-04-21</t>
  </si>
  <si>
    <t>S- 1631-04-21</t>
  </si>
  <si>
    <t>S- 1632-04-21</t>
  </si>
  <si>
    <t>S- 1672-05-21</t>
  </si>
  <si>
    <t>S- 1673-05-21</t>
  </si>
  <si>
    <t>S- 1674-05-21</t>
  </si>
  <si>
    <t>S- 1675-05-21</t>
  </si>
  <si>
    <t>S- 1798-06-21</t>
  </si>
  <si>
    <t>S- 1799-07-21</t>
  </si>
  <si>
    <t>S- 1800-07-21</t>
  </si>
  <si>
    <t>S- 1801-07-21</t>
  </si>
  <si>
    <t>S- 1802-07-21</t>
  </si>
  <si>
    <t>S- 1803-07-21</t>
  </si>
  <si>
    <t>S- 1804-07-21</t>
  </si>
  <si>
    <t>S- 1805-07-21</t>
  </si>
  <si>
    <t>S- 1806-07-21</t>
  </si>
  <si>
    <t>S- 2402-08-21</t>
  </si>
  <si>
    <t>S- 2403-08-21</t>
  </si>
  <si>
    <t>S- 2404-08-21</t>
  </si>
  <si>
    <t>S-3140-10-21</t>
  </si>
  <si>
    <t>S-3141-10-21</t>
  </si>
  <si>
    <t>S-3142-10-21</t>
  </si>
  <si>
    <t>S-3143-10-21</t>
  </si>
  <si>
    <t>S-3144-10-21</t>
  </si>
  <si>
    <t>S-3145-10-21</t>
  </si>
  <si>
    <t>S-3146-10-21</t>
  </si>
  <si>
    <t>S-3147-10-21</t>
  </si>
  <si>
    <t>S-3148-10-21</t>
  </si>
  <si>
    <t>S-3149-10-21</t>
  </si>
  <si>
    <t>S-3150-10-21</t>
  </si>
  <si>
    <t>S-3151-10-21</t>
  </si>
  <si>
    <t>S-3152-10-21</t>
  </si>
  <si>
    <t>S-3153-10-21</t>
  </si>
  <si>
    <t>S-3154-10-21</t>
  </si>
  <si>
    <t>S-3155-10-21</t>
  </si>
  <si>
    <t>Actualización de método</t>
  </si>
  <si>
    <t>S-1-01-22</t>
  </si>
  <si>
    <t>S-2-01-22</t>
  </si>
  <si>
    <t>S-3-01-22</t>
  </si>
  <si>
    <t>S-4-01-22</t>
  </si>
  <si>
    <t>S-5-01-22</t>
  </si>
  <si>
    <t>S-6-01-22</t>
  </si>
  <si>
    <t>S-7-01-22</t>
  </si>
  <si>
    <t>S-8-01-22</t>
  </si>
  <si>
    <t>S-9-01-22</t>
  </si>
  <si>
    <t>S-10-01-22</t>
  </si>
  <si>
    <t>S-11-01-22</t>
  </si>
  <si>
    <t>S-12-01-22</t>
  </si>
  <si>
    <t>S-13-01-22</t>
  </si>
  <si>
    <t>S-14-01-22</t>
  </si>
  <si>
    <t>S-15-01-22</t>
  </si>
  <si>
    <t>S-16-01-22</t>
  </si>
  <si>
    <t>S-17-01-22</t>
  </si>
  <si>
    <t>S-18-01-22</t>
  </si>
  <si>
    <t>S-19-01-22</t>
  </si>
  <si>
    <t>S-20-01-22</t>
  </si>
  <si>
    <t>Control Bajo</t>
  </si>
  <si>
    <t>S-21-01-22</t>
  </si>
  <si>
    <t>S-22-01-22</t>
  </si>
  <si>
    <t>S-23-01-22</t>
  </si>
  <si>
    <t>S-24-01-22</t>
  </si>
  <si>
    <t>S-25-01-22</t>
  </si>
  <si>
    <t>S-26-01-22</t>
  </si>
  <si>
    <t>S-27-01-22</t>
  </si>
  <si>
    <t>S-28-01-22</t>
  </si>
  <si>
    <t>S-29-01-22</t>
  </si>
  <si>
    <t>S-30-01-22</t>
  </si>
  <si>
    <t>S-31-01-22</t>
  </si>
  <si>
    <t>S-32-01-22</t>
  </si>
  <si>
    <t>S-33-01-22</t>
  </si>
  <si>
    <t>S-34-01-22</t>
  </si>
  <si>
    <t>S-35-01-22</t>
  </si>
  <si>
    <t>S-36-01-22</t>
  </si>
  <si>
    <t>S-37-01-22</t>
  </si>
  <si>
    <t>S-38-01-22</t>
  </si>
  <si>
    <t>S-39-01-22</t>
  </si>
  <si>
    <t>S-40-01-22</t>
  </si>
  <si>
    <t>S-41-01-22</t>
  </si>
  <si>
    <t>S-42-01-22</t>
  </si>
  <si>
    <t>S-43-01-22</t>
  </si>
  <si>
    <t>S-44-01-22</t>
  </si>
  <si>
    <t>S-45-01-22</t>
  </si>
  <si>
    <t>S-46-01-22</t>
  </si>
  <si>
    <t>S-47-01-22</t>
  </si>
  <si>
    <t>S-48-01-22</t>
  </si>
  <si>
    <t>S-49-01-22</t>
  </si>
  <si>
    <t>S-50-01-22</t>
  </si>
  <si>
    <t>S-51-01-22</t>
  </si>
  <si>
    <t>S-52-01-22</t>
  </si>
  <si>
    <t>S-53-01-22</t>
  </si>
  <si>
    <t>S-54-01-22</t>
  </si>
  <si>
    <t>S-55-01-22</t>
  </si>
  <si>
    <t>S-56-01-22</t>
  </si>
  <si>
    <t>S-57-01-22</t>
  </si>
  <si>
    <t>S-58-01-22</t>
  </si>
  <si>
    <t>S-59-01-22</t>
  </si>
  <si>
    <t>S-60-01-22</t>
  </si>
  <si>
    <t>S-61-01-22</t>
  </si>
  <si>
    <t>S-62-01-22</t>
  </si>
  <si>
    <t>S-63-01-22</t>
  </si>
  <si>
    <t>S-64-01-22</t>
  </si>
  <si>
    <t>S-65-01-22</t>
  </si>
  <si>
    <t>S-66-01-22</t>
  </si>
  <si>
    <t>S-67-01-22</t>
  </si>
  <si>
    <t>S-68-01-22</t>
  </si>
  <si>
    <t>S-69-01-22</t>
  </si>
  <si>
    <t>S-70-01-22</t>
  </si>
  <si>
    <t>S-71-01-22</t>
  </si>
  <si>
    <t>R S-50-01-22</t>
  </si>
  <si>
    <t xml:space="preserve">Cálculo de % de Materia Orgánica </t>
  </si>
  <si>
    <t>FECHA</t>
  </si>
  <si>
    <t>PESO MUESTRA  (g)</t>
  </si>
  <si>
    <t>SULFATO FERROSO CONSUMIDO (ml)</t>
  </si>
  <si>
    <t>% CARBONO ORGÁNICO</t>
  </si>
  <si>
    <t>% DE MATERIA ORGÁNICA</t>
  </si>
  <si>
    <t>Control Alto</t>
  </si>
  <si>
    <t>Valoración de Solución de Sulfato Ferroso 1.0 N</t>
  </si>
  <si>
    <t>M1</t>
  </si>
  <si>
    <t>ml Consumidos Dicromato de Potasio 1 N</t>
  </si>
  <si>
    <t>M2</t>
  </si>
  <si>
    <t xml:space="preserve">Normalidad de la  Solución de Sulfato Ferroso </t>
  </si>
  <si>
    <t xml:space="preserve">Mililitros utilizados  de Sulfato Ferroso 1 N </t>
  </si>
  <si>
    <t xml:space="preserve">Normalidad de Dicromato de Potasio </t>
  </si>
  <si>
    <t>Dicromato de Potasio 1 N Consumido</t>
  </si>
  <si>
    <t>Análisis de Blanco de Muestra</t>
  </si>
  <si>
    <t>ml Consumidos de Sulfato Ferroso</t>
  </si>
  <si>
    <t>Control Medio</t>
  </si>
  <si>
    <t xml:space="preserve">Control Bajo </t>
  </si>
  <si>
    <t>Calculo de Humedad Residual de Texturas 2021</t>
  </si>
  <si>
    <t>PC+MH</t>
  </si>
  <si>
    <t>PC+MS</t>
  </si>
  <si>
    <t>%H.RESIDUAL</t>
  </si>
  <si>
    <t>S- 44-01-21</t>
  </si>
  <si>
    <t>S- 66-01-21</t>
  </si>
  <si>
    <t>S- 67-01-21</t>
  </si>
  <si>
    <t>S- 68-01-21</t>
  </si>
  <si>
    <t>S- 69-01-21</t>
  </si>
  <si>
    <t>S- 70-01-21</t>
  </si>
  <si>
    <t>S- 71-01-21</t>
  </si>
  <si>
    <t>S- 72-01-21</t>
  </si>
  <si>
    <t>S- 73-01-21</t>
  </si>
  <si>
    <t>S- 74-01-21</t>
  </si>
  <si>
    <t>S- 75-01-21</t>
  </si>
  <si>
    <t>S- 76-01-21</t>
  </si>
  <si>
    <t>S- 77-01-21</t>
  </si>
  <si>
    <t>S- 78-01-21</t>
  </si>
  <si>
    <t>S- 79-01-21</t>
  </si>
  <si>
    <t>S- 80-01-21</t>
  </si>
  <si>
    <t>S- 81-01-21</t>
  </si>
  <si>
    <t>S- 82-01-21</t>
  </si>
  <si>
    <t>S- 83-01-21</t>
  </si>
  <si>
    <t>S- 310-01-21</t>
  </si>
  <si>
    <t>S- 319-01-21</t>
  </si>
  <si>
    <t>S- 320-01-21</t>
  </si>
  <si>
    <t>S- 321-01-21</t>
  </si>
  <si>
    <t>S- 322-01-21</t>
  </si>
  <si>
    <t>S- 323-01-21</t>
  </si>
  <si>
    <t>S- 324-01-21</t>
  </si>
  <si>
    <t>S- 325-01-21</t>
  </si>
  <si>
    <t>S- 326-01-21</t>
  </si>
  <si>
    <t>S- 1189-03-21</t>
  </si>
  <si>
    <t>S- 1190-03-21</t>
  </si>
  <si>
    <t>S- 1191-03-21</t>
  </si>
  <si>
    <t>S- 1192-03-21</t>
  </si>
  <si>
    <t>S- 1193-03-21</t>
  </si>
  <si>
    <t>S- 1194-03-21</t>
  </si>
  <si>
    <t>S- 1225-03-21</t>
  </si>
  <si>
    <t>S- 1226-03-21</t>
  </si>
  <si>
    <t>S- 1227-03-21</t>
  </si>
  <si>
    <t>S- 1228-03-21</t>
  </si>
  <si>
    <t>S- 1229-03-21</t>
  </si>
  <si>
    <t>S- 1230-03-21</t>
  </si>
  <si>
    <t>S- 1505-04-21</t>
  </si>
  <si>
    <t>S- 1506-04-21</t>
  </si>
  <si>
    <t>S- 1507-04-21</t>
  </si>
  <si>
    <t>S- 1508-04-21</t>
  </si>
  <si>
    <t>S- 1509-04-21</t>
  </si>
  <si>
    <t>S- 1510-04-21</t>
  </si>
  <si>
    <t>S- 1511-04-21</t>
  </si>
  <si>
    <t>S- 1512-04-21</t>
  </si>
  <si>
    <t>Análisis de Textura SUELOS 2021</t>
  </si>
  <si>
    <t>No. Lab.</t>
  </si>
  <si>
    <t>% H.R.</t>
  </si>
  <si>
    <t>FACTOR</t>
  </si>
  <si>
    <t>1ª LEC</t>
  </si>
  <si>
    <t>1ª T ºF</t>
  </si>
  <si>
    <t>LEC COR</t>
  </si>
  <si>
    <t>% L/A</t>
  </si>
  <si>
    <t xml:space="preserve">2ª LEC </t>
  </si>
  <si>
    <t>2ª T ºF</t>
  </si>
  <si>
    <t>TOTAL</t>
  </si>
  <si>
    <t>% ARCILLA</t>
  </si>
  <si>
    <t>% LIMO</t>
  </si>
  <si>
    <t>% ARENA</t>
  </si>
  <si>
    <t>TEXTURAS</t>
  </si>
  <si>
    <t>Franco Arenoso</t>
  </si>
  <si>
    <t xml:space="preserve">Franco </t>
  </si>
  <si>
    <t>Franco</t>
  </si>
  <si>
    <t>Franco Limoso</t>
  </si>
  <si>
    <t>Arena Franca</t>
  </si>
  <si>
    <t>Franco Arcilloso</t>
  </si>
  <si>
    <t>Arcilloso</t>
  </si>
  <si>
    <t xml:space="preserve"> Franco Arcilloso </t>
  </si>
  <si>
    <t xml:space="preserve">Franco limoso </t>
  </si>
  <si>
    <t>Arcilloso Limoso</t>
  </si>
  <si>
    <t>Arcilloso Arenoso</t>
  </si>
  <si>
    <t>Arena</t>
  </si>
  <si>
    <t xml:space="preserve">Capacidad de Intercambio Catiónico SUELOS </t>
  </si>
  <si>
    <t>Peso (g)</t>
  </si>
  <si>
    <t>mL blanco</t>
  </si>
  <si>
    <t>mL muestra</t>
  </si>
  <si>
    <t>Meq/100 g</t>
  </si>
  <si>
    <t>control</t>
  </si>
  <si>
    <t>Curva de Calibración</t>
  </si>
  <si>
    <t>Calculo de NITROGENO 2024</t>
  </si>
  <si>
    <t xml:space="preserve"> NO. LAB</t>
  </si>
  <si>
    <t>Ml HCl</t>
  </si>
  <si>
    <t>% N</t>
  </si>
  <si>
    <t>x= Nitrogeno</t>
  </si>
  <si>
    <t>Analisis</t>
  </si>
  <si>
    <t>BLANCO</t>
  </si>
  <si>
    <t>MUESTRA</t>
  </si>
  <si>
    <t>Boro</t>
  </si>
  <si>
    <t># laboratorio</t>
  </si>
  <si>
    <t>Abs. Blanco</t>
  </si>
  <si>
    <t>ppm B muestra</t>
  </si>
  <si>
    <t>Concentración</t>
  </si>
  <si>
    <t xml:space="preserve">control </t>
  </si>
  <si>
    <t>Azufre</t>
  </si>
  <si>
    <r>
      <t>ppm SO</t>
    </r>
    <r>
      <rPr>
        <sz val="8"/>
        <color theme="1"/>
        <rFont val="Arial"/>
        <family val="2"/>
      </rPr>
      <t>4</t>
    </r>
  </si>
  <si>
    <t>N/D</t>
  </si>
  <si>
    <t>Ejemplo 1</t>
  </si>
  <si>
    <t>Ejemplo 2</t>
  </si>
  <si>
    <t>Ejemplo 3</t>
  </si>
  <si>
    <t>Ejemplo 4</t>
  </si>
  <si>
    <t>Ejemplo 5</t>
  </si>
  <si>
    <t>Ejemplo 6</t>
  </si>
  <si>
    <t>Ejemplo 7</t>
  </si>
  <si>
    <t>Ejemplo 8</t>
  </si>
  <si>
    <t>Ejemplo 9</t>
  </si>
  <si>
    <t>Ejemplo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</si>
</sst>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Bradley Hand ITC"/>
      <family val="4"/>
    </font>
    <font>
      <b/>
      <sz val="16"/>
      <name val="Comic Sans MS"/>
      <family val="4"/>
    </font>
    <font>
      <b/>
      <sz val="12"/>
      <name val="Calibri"/>
      <family val="2"/>
      <scheme val="minor"/>
    </font>
    <font>
      <sz val="10"/>
      <color theme="1"/>
      <name val="Calibri"/>
      <family val="2"/>
    </font>
    <font>
      <b/>
      <sz val="9"/>
      <name val="Comic Sans MS"/>
      <family val="4"/>
    </font>
    <font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omic Sans MS"/>
      <family val="4"/>
    </font>
    <font>
      <b/>
      <sz val="22"/>
      <color indexed="8"/>
      <name val="Bradley Hand ITC"/>
      <family val="4"/>
    </font>
    <font>
      <sz val="10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color theme="1"/>
      <name val="Bradley Hand ITC"/>
      <family val="4"/>
    </font>
    <font>
      <b/>
      <sz val="18"/>
      <name val="Bradley Hand ITC"/>
      <family val="4"/>
    </font>
    <font>
      <sz val="12"/>
      <name val="Comic Sans MS"/>
      <family val="4"/>
    </font>
    <font>
      <sz val="10"/>
      <name val="Comic Sans MS"/>
      <family val="4"/>
    </font>
    <font>
      <sz val="8"/>
      <name val="Comic Sans MS"/>
      <family val="4"/>
    </font>
    <font>
      <b/>
      <sz val="11"/>
      <name val="Comic Sans MS"/>
      <family val="4"/>
    </font>
    <font>
      <sz val="10"/>
      <name val="Arial"/>
      <family val="2"/>
    </font>
    <font>
      <sz val="9"/>
      <name val="Comic Sans MS"/>
      <family val="4"/>
    </font>
    <font>
      <b/>
      <sz val="11"/>
      <color theme="1"/>
      <name val="Arial Narrow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8"/>
      <name val="Comic Sans MS"/>
      <family val="4"/>
    </font>
    <font>
      <b/>
      <sz val="11"/>
      <color indexed="8"/>
      <name val="Calibri"/>
      <family val="2"/>
    </font>
    <font>
      <b/>
      <sz val="8"/>
      <name val="Arial"/>
      <family val="2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7F5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/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0" xfId="0" applyFont="1"/>
    <xf numFmtId="165" fontId="7" fillId="0" borderId="0" xfId="0" applyNumberFormat="1" applyFont="1" applyAlignment="1">
      <alignment horizontal="center"/>
    </xf>
    <xf numFmtId="0" fontId="16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18" fillId="0" borderId="0" xfId="0" applyFont="1"/>
    <xf numFmtId="0" fontId="19" fillId="0" borderId="10" xfId="0" applyFont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22" fillId="0" borderId="0" xfId="0" applyFont="1"/>
    <xf numFmtId="0" fontId="21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7" fillId="5" borderId="0" xfId="0" applyNumberFormat="1" applyFont="1" applyFill="1" applyAlignment="1">
      <alignment horizontal="center"/>
    </xf>
    <xf numFmtId="14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2" fontId="25" fillId="5" borderId="0" xfId="0" applyNumberFormat="1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166" fontId="26" fillId="5" borderId="8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2" fontId="25" fillId="5" borderId="8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1" applyFont="1" applyAlignment="1">
      <alignment horizontal="center"/>
    </xf>
    <xf numFmtId="2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8" fillId="5" borderId="0" xfId="0" applyNumberFormat="1" applyFont="1" applyFill="1" applyAlignment="1">
      <alignment horizontal="center"/>
    </xf>
    <xf numFmtId="49" fontId="27" fillId="6" borderId="9" xfId="0" applyNumberFormat="1" applyFont="1" applyFill="1" applyBorder="1" applyAlignment="1">
      <alignment horizontal="center" vertical="center"/>
    </xf>
    <xf numFmtId="49" fontId="27" fillId="6" borderId="10" xfId="0" applyNumberFormat="1" applyFont="1" applyFill="1" applyBorder="1" applyAlignment="1">
      <alignment horizontal="center" vertical="center"/>
    </xf>
    <xf numFmtId="49" fontId="27" fillId="6" borderId="17" xfId="0" applyNumberFormat="1" applyFont="1" applyFill="1" applyBorder="1" applyAlignment="1">
      <alignment horizontal="center" vertical="center"/>
    </xf>
    <xf numFmtId="49" fontId="27" fillId="6" borderId="8" xfId="0" applyNumberFormat="1" applyFont="1" applyFill="1" applyBorder="1" applyAlignment="1">
      <alignment horizontal="center" vertical="center"/>
    </xf>
    <xf numFmtId="2" fontId="15" fillId="6" borderId="16" xfId="0" applyNumberFormat="1" applyFont="1" applyFill="1" applyBorder="1" applyAlignment="1">
      <alignment horizontal="center"/>
    </xf>
    <xf numFmtId="166" fontId="7" fillId="0" borderId="18" xfId="0" applyNumberFormat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6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7" fillId="0" borderId="18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64" fontId="25" fillId="5" borderId="0" xfId="0" applyNumberFormat="1" applyFont="1" applyFill="1" applyAlignment="1">
      <alignment horizontal="center"/>
    </xf>
    <xf numFmtId="0" fontId="8" fillId="0" borderId="18" xfId="0" applyFont="1" applyBorder="1" applyAlignment="1">
      <alignment horizontal="center"/>
    </xf>
    <xf numFmtId="2" fontId="7" fillId="0" borderId="18" xfId="0" applyNumberFormat="1" applyFont="1" applyBorder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0" fillId="5" borderId="18" xfId="0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18" xfId="0" applyFont="1" applyFill="1" applyBorder="1" applyAlignment="1">
      <alignment horizontal="center"/>
    </xf>
    <xf numFmtId="2" fontId="8" fillId="7" borderId="0" xfId="0" applyNumberFormat="1" applyFont="1" applyFill="1" applyAlignment="1">
      <alignment horizontal="center"/>
    </xf>
    <xf numFmtId="2" fontId="0" fillId="0" borderId="0" xfId="0" applyNumberFormat="1" applyAlignment="1">
      <alignment horizontal="left"/>
    </xf>
    <xf numFmtId="0" fontId="0" fillId="8" borderId="0" xfId="0" applyFill="1"/>
    <xf numFmtId="165" fontId="7" fillId="7" borderId="0" xfId="0" applyNumberFormat="1" applyFont="1" applyFill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20" xfId="0" applyBorder="1"/>
    <xf numFmtId="164" fontId="8" fillId="0" borderId="20" xfId="0" applyNumberFormat="1" applyFont="1" applyBorder="1" applyAlignment="1">
      <alignment horizontal="center"/>
    </xf>
    <xf numFmtId="2" fontId="8" fillId="9" borderId="22" xfId="0" applyNumberFormat="1" applyFont="1" applyFill="1" applyBorder="1" applyAlignment="1">
      <alignment horizontal="center"/>
    </xf>
    <xf numFmtId="2" fontId="8" fillId="5" borderId="22" xfId="0" applyNumberFormat="1" applyFont="1" applyFill="1" applyBorder="1" applyAlignment="1">
      <alignment horizontal="center"/>
    </xf>
    <xf numFmtId="2" fontId="8" fillId="5" borderId="21" xfId="0" applyNumberFormat="1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0" fillId="0" borderId="23" xfId="0" applyBorder="1"/>
    <xf numFmtId="0" fontId="7" fillId="5" borderId="22" xfId="0" applyFont="1" applyFill="1" applyBorder="1" applyAlignment="1">
      <alignment horizontal="center"/>
    </xf>
    <xf numFmtId="2" fontId="25" fillId="5" borderId="7" xfId="0" applyNumberFormat="1" applyFont="1" applyFill="1" applyBorder="1" applyAlignment="1">
      <alignment horizontal="center"/>
    </xf>
    <xf numFmtId="2" fontId="8" fillId="5" borderId="25" xfId="0" applyNumberFormat="1" applyFont="1" applyFill="1" applyBorder="1" applyAlignment="1">
      <alignment horizontal="center"/>
    </xf>
    <xf numFmtId="2" fontId="8" fillId="0" borderId="22" xfId="0" applyNumberFormat="1" applyFont="1" applyBorder="1" applyAlignment="1">
      <alignment horizontal="center"/>
    </xf>
    <xf numFmtId="0" fontId="28" fillId="5" borderId="0" xfId="0" applyFont="1" applyFill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3" fillId="10" borderId="11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0" fontId="31" fillId="0" borderId="12" xfId="0" applyFont="1" applyBorder="1"/>
    <xf numFmtId="0" fontId="20" fillId="0" borderId="4" xfId="0" applyFont="1" applyBorder="1" applyAlignment="1">
      <alignment horizontal="center"/>
    </xf>
    <xf numFmtId="0" fontId="31" fillId="0" borderId="5" xfId="0" applyFont="1" applyBorder="1"/>
    <xf numFmtId="0" fontId="31" fillId="0" borderId="13" xfId="0" applyFont="1" applyBorder="1"/>
    <xf numFmtId="0" fontId="0" fillId="0" borderId="12" xfId="0" applyBorder="1" applyAlignment="1">
      <alignment horizontal="center"/>
    </xf>
    <xf numFmtId="0" fontId="31" fillId="0" borderId="15" xfId="0" applyFont="1" applyBorder="1"/>
    <xf numFmtId="0" fontId="31" fillId="0" borderId="4" xfId="0" applyFont="1" applyBorder="1"/>
    <xf numFmtId="0" fontId="0" fillId="0" borderId="5" xfId="0" applyBorder="1"/>
    <xf numFmtId="0" fontId="0" fillId="12" borderId="5" xfId="0" applyFill="1" applyBorder="1" applyAlignment="1">
      <alignment horizontal="center"/>
    </xf>
    <xf numFmtId="0" fontId="0" fillId="0" borderId="12" xfId="0" applyBorder="1"/>
    <xf numFmtId="2" fontId="29" fillId="0" borderId="0" xfId="0" applyNumberFormat="1" applyFon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30" fillId="0" borderId="0" xfId="0" applyFont="1" applyAlignment="1">
      <alignment wrapText="1"/>
    </xf>
    <xf numFmtId="2" fontId="0" fillId="15" borderId="12" xfId="0" applyNumberFormat="1" applyFill="1" applyBorder="1" applyAlignment="1">
      <alignment horizontal="center"/>
    </xf>
    <xf numFmtId="2" fontId="0" fillId="15" borderId="5" xfId="0" applyNumberFormat="1" applyFill="1" applyBorder="1" applyAlignment="1">
      <alignment horizontal="center"/>
    </xf>
    <xf numFmtId="2" fontId="6" fillId="15" borderId="12" xfId="0" applyNumberFormat="1" applyFont="1" applyFill="1" applyBorder="1" applyAlignment="1">
      <alignment horizontal="center"/>
    </xf>
    <xf numFmtId="2" fontId="6" fillId="15" borderId="5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19" fillId="0" borderId="9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6" fillId="0" borderId="26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8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9" borderId="0" xfId="0" applyNumberFormat="1" applyFont="1" applyFill="1" applyAlignment="1">
      <alignment horizontal="center" vertical="center"/>
    </xf>
    <xf numFmtId="0" fontId="0" fillId="16" borderId="6" xfId="0" applyFill="1" applyBorder="1"/>
    <xf numFmtId="0" fontId="0" fillId="16" borderId="3" xfId="0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2" fontId="7" fillId="7" borderId="18" xfId="0" applyNumberFormat="1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/>
    </xf>
    <xf numFmtId="0" fontId="40" fillId="16" borderId="8" xfId="0" applyFont="1" applyFill="1" applyBorder="1" applyAlignment="1">
      <alignment horizontal="center"/>
    </xf>
    <xf numFmtId="0" fontId="40" fillId="16" borderId="6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65" fontId="39" fillId="0" borderId="0" xfId="0" applyNumberFormat="1" applyFont="1" applyAlignment="1">
      <alignment horizontal="center"/>
    </xf>
    <xf numFmtId="2" fontId="0" fillId="5" borderId="18" xfId="0" applyNumberFormat="1" applyFill="1" applyBorder="1" applyAlignment="1">
      <alignment horizontal="center" vertical="center"/>
    </xf>
    <xf numFmtId="2" fontId="0" fillId="7" borderId="18" xfId="0" applyNumberForma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19" fillId="0" borderId="17" xfId="0" applyFont="1" applyBorder="1" applyAlignment="1">
      <alignment horizont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30" fillId="11" borderId="1" xfId="0" applyFont="1" applyFill="1" applyBorder="1" applyAlignment="1">
      <alignment horizontal="center" wrapText="1"/>
    </xf>
    <xf numFmtId="0" fontId="30" fillId="11" borderId="2" xfId="0" applyFont="1" applyFill="1" applyBorder="1" applyAlignment="1">
      <alignment horizontal="center" wrapText="1"/>
    </xf>
    <xf numFmtId="0" fontId="30" fillId="11" borderId="3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wrapText="1"/>
    </xf>
    <xf numFmtId="0" fontId="30" fillId="14" borderId="2" xfId="0" applyFont="1" applyFill="1" applyBorder="1" applyAlignment="1">
      <alignment horizontal="center" wrapText="1"/>
    </xf>
    <xf numFmtId="0" fontId="30" fillId="14" borderId="3" xfId="0" applyFont="1" applyFill="1" applyBorder="1" applyAlignment="1">
      <alignment horizontal="center" wrapText="1"/>
    </xf>
    <xf numFmtId="0" fontId="2" fillId="13" borderId="16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wrapText="1"/>
    </xf>
    <xf numFmtId="0" fontId="30" fillId="10" borderId="2" xfId="0" applyFont="1" applyFill="1" applyBorder="1" applyAlignment="1">
      <alignment horizontal="center" wrapText="1"/>
    </xf>
    <xf numFmtId="0" fontId="30" fillId="10" borderId="3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38" fillId="16" borderId="0" xfId="0" applyFont="1" applyFill="1" applyAlignment="1">
      <alignment horizontal="center" vertical="center"/>
    </xf>
    <xf numFmtId="0" fontId="40" fillId="16" borderId="1" xfId="0" applyFont="1" applyFill="1" applyBorder="1" applyAlignment="1">
      <alignment horizontal="center" vertical="center"/>
    </xf>
    <xf numFmtId="0" fontId="40" fillId="16" borderId="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35" fillId="2" borderId="0" xfId="0" quotePrefix="1" applyFont="1" applyFill="1" applyAlignment="1">
      <alignment horizontal="center"/>
    </xf>
    <xf numFmtId="0" fontId="35" fillId="2" borderId="5" xfId="0" quotePrefix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FF33CC"/>
      <color rgb="FFFF3300"/>
      <color rgb="FFFFCCFF"/>
      <color rgb="FFCCECFF"/>
      <color rgb="FFFF6600"/>
      <color rgb="FFFFFF99"/>
      <color rgb="FF32CEDE"/>
      <color rgb="FF66FF33"/>
      <color rgb="FF11C1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Azufre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Azufre!$G$7</c:f>
              <c:strCache>
                <c:ptCount val="1"/>
                <c:pt idx="0">
                  <c:v>Absorbancia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Azufre!$F$8:$F$19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</c:numCache>
            </c:numRef>
          </c:xVal>
          <c:yVal>
            <c:numRef>
              <c:f>Azufre!$G$8:$G$19</c:f>
              <c:numCache>
                <c:formatCode>0.000</c:formatCode>
                <c:ptCount val="12"/>
                <c:pt idx="0">
                  <c:v>-0.01</c:v>
                </c:pt>
                <c:pt idx="1">
                  <c:v>-8.0000000000000002E-3</c:v>
                </c:pt>
                <c:pt idx="2">
                  <c:v>6.9000000000000006E-2</c:v>
                </c:pt>
                <c:pt idx="3">
                  <c:v>7.1999999999999995E-2</c:v>
                </c:pt>
                <c:pt idx="4">
                  <c:v>0.121</c:v>
                </c:pt>
                <c:pt idx="5">
                  <c:v>0.129</c:v>
                </c:pt>
                <c:pt idx="6">
                  <c:v>0.23599999999999999</c:v>
                </c:pt>
                <c:pt idx="7">
                  <c:v>0.26200000000000001</c:v>
                </c:pt>
                <c:pt idx="8">
                  <c:v>0.32800000000000001</c:v>
                </c:pt>
                <c:pt idx="9">
                  <c:v>0.29199999999999998</c:v>
                </c:pt>
                <c:pt idx="10">
                  <c:v>0.372</c:v>
                </c:pt>
                <c:pt idx="11">
                  <c:v>0.374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B-49CE-82BD-4B4BF27E7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516607"/>
        <c:axId val="1227530047"/>
      </c:scatterChart>
      <c:valAx>
        <c:axId val="12275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Absorbancia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27530047"/>
        <c:crosses val="autoZero"/>
        <c:crossBetween val="midCat"/>
      </c:valAx>
      <c:valAx>
        <c:axId val="12275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Concentración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22751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0285783027121611"/>
                  <c:y val="-0.256681248177311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xVal>
            <c:numRef>
              <c:f>Fósforo!$H$5:$H$16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  <c:pt idx="9">
                  <c:v>10</c:v>
                </c:pt>
                <c:pt idx="10">
                  <c:v>20</c:v>
                </c:pt>
                <c:pt idx="11">
                  <c:v>20</c:v>
                </c:pt>
              </c:numCache>
            </c:numRef>
          </c:xVal>
          <c:yVal>
            <c:numRef>
              <c:f>Fósforo!$I$5:$I$16</c:f>
              <c:numCache>
                <c:formatCode>0.000</c:formatCode>
                <c:ptCount val="12"/>
                <c:pt idx="0">
                  <c:v>5.0999999999999997E-2</c:v>
                </c:pt>
                <c:pt idx="1">
                  <c:v>5.3999999999999999E-2</c:v>
                </c:pt>
                <c:pt idx="2">
                  <c:v>0.105</c:v>
                </c:pt>
                <c:pt idx="3">
                  <c:v>0.108</c:v>
                </c:pt>
                <c:pt idx="4">
                  <c:v>0.20399999999999999</c:v>
                </c:pt>
                <c:pt idx="5">
                  <c:v>0.20499999999999999</c:v>
                </c:pt>
                <c:pt idx="6">
                  <c:v>0.25800000000000001</c:v>
                </c:pt>
                <c:pt idx="7">
                  <c:v>0.25700000000000001</c:v>
                </c:pt>
                <c:pt idx="8">
                  <c:v>0.499</c:v>
                </c:pt>
                <c:pt idx="9">
                  <c:v>0.499</c:v>
                </c:pt>
                <c:pt idx="10">
                  <c:v>0.97099999999999997</c:v>
                </c:pt>
                <c:pt idx="11">
                  <c:v>0.96499999999999997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D-4F38-A945-016325669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2295039"/>
        <c:axId val="1462292639"/>
      </c:scatterChart>
      <c:valAx>
        <c:axId val="146229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62292639"/>
        <c:crosses val="autoZero"/>
        <c:crossBetween val="midCat"/>
      </c:valAx>
      <c:valAx>
        <c:axId val="14622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6229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9.7539370078740154E-2"/>
          <c:y val="0.15771791294297194"/>
          <c:w val="0.84141907261592297"/>
          <c:h val="0.7656052290110173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50791076115485567"/>
                  <c:y val="-0.243435679704112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GT"/>
                </a:p>
              </c:txPr>
            </c:trendlineLbl>
          </c:trendline>
          <c:xVal>
            <c:numRef>
              <c:f>'Boro '!$F$7:$F$16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0.25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</c:numCache>
            </c:numRef>
          </c:xVal>
          <c:yVal>
            <c:numRef>
              <c:f>'Boro '!$G$7:$G$16</c:f>
              <c:numCache>
                <c:formatCode>0.000</c:formatCode>
                <c:ptCount val="10"/>
                <c:pt idx="0">
                  <c:v>-1.4999999999999999E-2</c:v>
                </c:pt>
                <c:pt idx="1">
                  <c:v>-0.01</c:v>
                </c:pt>
                <c:pt idx="2">
                  <c:v>-6.0000000000000001E-3</c:v>
                </c:pt>
                <c:pt idx="3">
                  <c:v>3.0000000000000001E-3</c:v>
                </c:pt>
                <c:pt idx="4">
                  <c:v>8.9999999999999993E-3</c:v>
                </c:pt>
                <c:pt idx="5">
                  <c:v>8.0000000000000002E-3</c:v>
                </c:pt>
                <c:pt idx="6">
                  <c:v>2.1999999999999999E-2</c:v>
                </c:pt>
                <c:pt idx="7">
                  <c:v>2.7E-2</c:v>
                </c:pt>
                <c:pt idx="8">
                  <c:v>5.8000000000000003E-2</c:v>
                </c:pt>
                <c:pt idx="9">
                  <c:v>5.7000000000000002E-2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8-4312-B6BB-8CBEC1D9A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1816592"/>
        <c:axId val="2061808432"/>
      </c:scatterChart>
      <c:valAx>
        <c:axId val="206181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061808432"/>
        <c:crosses val="autoZero"/>
        <c:crossBetween val="midCat"/>
      </c:valAx>
      <c:valAx>
        <c:axId val="20618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206181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127001</xdr:colOff>
      <xdr:row>5</xdr:row>
      <xdr:rowOff>110066</xdr:rowOff>
    </xdr:from>
    <xdr:to>
      <xdr:col>12</xdr:col>
      <xdr:colOff>645584</xdr:colOff>
      <xdr:row>19</xdr:row>
      <xdr:rowOff>38099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F002DE6-9A7D-109A-321A-7260C1C9C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166414</xdr:colOff>
      <xdr:row>2</xdr:row>
      <xdr:rowOff>183056</xdr:rowOff>
    </xdr:from>
    <xdr:to>
      <xdr:col>15</xdr:col>
      <xdr:colOff>140138</xdr:colOff>
      <xdr:row>16</xdr:row>
      <xdr:rowOff>123498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A05C61-74E5-4C0C-A922-C98A2CFDA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232834</xdr:colOff>
      <xdr:row>4</xdr:row>
      <xdr:rowOff>4233</xdr:rowOff>
    </xdr:from>
    <xdr:to>
      <xdr:col>13</xdr:col>
      <xdr:colOff>232834</xdr:colOff>
      <xdr:row>17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6484FF5-4ED3-4F1B-A647-29DA3E208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7"/>
  <sheetViews>
    <sheetView tabSelected="1" zoomScale="90" zoomScaleNormal="90" workbookViewId="0">
      <pane ySplit="4" topLeftCell="A5" activePane="bottomLeft" state="frozen"/>
      <selection pane="bottomLeft" activeCell="J12" sqref="J12"/>
    </sheetView>
  </sheetViews>
  <sheetFormatPr baseColWidth="10" defaultColWidth="9.140625" defaultRowHeight="15" x14ac:dyDescent="0.25"/>
  <cols>
    <col min="1" max="1" width="16.85546875" customWidth="1"/>
    <col min="2" max="2" width="16.5703125" customWidth="1"/>
    <col min="3" max="9" width="9.7109375" customWidth="1"/>
    <col min="10" max="10" width="12.85546875" customWidth="1"/>
    <col min="11" max="11" width="9.7109375" customWidth="1"/>
    <col min="12" max="15" width="12.7109375" customWidth="1"/>
    <col min="17" max="17" width="10.5703125" bestFit="1" customWidth="1"/>
    <col min="18" max="20" width="9.5703125" bestFit="1" customWidth="1"/>
  </cols>
  <sheetData>
    <row r="1" spans="1:15" ht="53.25" customHeight="1" thickBot="1" x14ac:dyDescent="0.3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 spans="1:15" ht="15.75" thickBot="1" x14ac:dyDescent="0.3">
      <c r="A2" s="1"/>
      <c r="B2" s="2"/>
      <c r="C2" s="2" t="s">
        <v>1</v>
      </c>
      <c r="D2" s="2"/>
      <c r="E2" s="2"/>
      <c r="F2" s="2"/>
      <c r="G2" s="2"/>
      <c r="H2" s="2"/>
      <c r="I2" s="2" t="s">
        <v>1</v>
      </c>
      <c r="J2" s="2"/>
      <c r="K2" s="2"/>
      <c r="L2" s="175" t="s">
        <v>2</v>
      </c>
      <c r="M2" s="176"/>
      <c r="N2" s="176"/>
      <c r="O2" s="177"/>
    </row>
    <row r="3" spans="1:15" ht="15.75" thickBot="1" x14ac:dyDescent="0.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4" t="s">
        <v>10</v>
      </c>
      <c r="I3" s="4" t="s">
        <v>10</v>
      </c>
      <c r="J3" s="4" t="s">
        <v>10</v>
      </c>
      <c r="K3" s="4" t="s">
        <v>10</v>
      </c>
      <c r="L3" s="5" t="s">
        <v>11</v>
      </c>
      <c r="M3" s="5" t="s">
        <v>12</v>
      </c>
      <c r="N3" s="5" t="s">
        <v>13</v>
      </c>
      <c r="O3" s="5" t="s">
        <v>14</v>
      </c>
    </row>
    <row r="4" spans="1:15" ht="15.75" thickBot="1" x14ac:dyDescent="0.3">
      <c r="A4" s="7"/>
      <c r="B4" s="8"/>
      <c r="C4" s="9"/>
      <c r="D4" s="9"/>
      <c r="E4" s="9"/>
      <c r="F4" s="9"/>
      <c r="G4" s="10"/>
      <c r="H4" s="11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15</v>
      </c>
      <c r="N4" s="6" t="s">
        <v>15</v>
      </c>
      <c r="O4" s="6" t="s">
        <v>15</v>
      </c>
    </row>
    <row r="5" spans="1:15" ht="15.75" x14ac:dyDescent="0.25">
      <c r="A5" s="136">
        <v>46049</v>
      </c>
      <c r="B5" s="71" t="s">
        <v>396</v>
      </c>
      <c r="C5" s="24">
        <v>5</v>
      </c>
      <c r="D5" s="130">
        <v>13.4</v>
      </c>
      <c r="E5" s="130">
        <v>3.1709999999999998</v>
      </c>
      <c r="F5" s="130">
        <v>27.690999999999999</v>
      </c>
      <c r="G5" s="130">
        <v>1.919</v>
      </c>
      <c r="H5" s="130">
        <v>1.0569999999999999</v>
      </c>
      <c r="I5" s="130">
        <v>0.19800000000000001</v>
      </c>
      <c r="J5" s="130">
        <v>0.05</v>
      </c>
      <c r="K5" s="130">
        <v>1.3720000000000001</v>
      </c>
      <c r="L5" s="129">
        <f t="shared" ref="L5:L6" si="0">+((D5-H5)*4.99)/C5</f>
        <v>12.318314000000001</v>
      </c>
      <c r="M5" s="129">
        <f t="shared" ref="M5:M6" si="1">((E5-I5)*8.2264)/C5</f>
        <v>4.8914174399999997</v>
      </c>
      <c r="N5" s="129">
        <f t="shared" ref="N5:N6" si="2">((F5-J5)*0.2557)/C5</f>
        <v>1.4135607399999999</v>
      </c>
      <c r="O5" s="129">
        <f t="shared" ref="O5:O6" si="3">((G5-K5)*0.4348)/C5</f>
        <v>4.7567119999999997E-2</v>
      </c>
    </row>
    <row r="6" spans="1:15" ht="15.75" x14ac:dyDescent="0.25">
      <c r="A6" s="136">
        <v>46049</v>
      </c>
      <c r="B6" s="71" t="s">
        <v>397</v>
      </c>
      <c r="C6" s="24">
        <v>5</v>
      </c>
      <c r="D6" s="130">
        <v>10.871</v>
      </c>
      <c r="E6" s="130">
        <v>0.63300000000000001</v>
      </c>
      <c r="F6" s="130">
        <v>11.276</v>
      </c>
      <c r="G6" s="130">
        <v>6.6749999999999998</v>
      </c>
      <c r="H6" s="130">
        <v>1.0569999999999999</v>
      </c>
      <c r="I6" s="130">
        <v>0.19800000000000001</v>
      </c>
      <c r="J6" s="130">
        <v>0.05</v>
      </c>
      <c r="K6" s="130">
        <v>1.3720000000000001</v>
      </c>
      <c r="L6" s="129">
        <f t="shared" si="0"/>
        <v>9.7943719999999992</v>
      </c>
      <c r="M6" s="129">
        <f t="shared" si="1"/>
        <v>0.71569680000000002</v>
      </c>
      <c r="N6" s="129">
        <f t="shared" si="2"/>
        <v>0.57409763999999996</v>
      </c>
      <c r="O6" s="129">
        <f t="shared" si="3"/>
        <v>0.46114887999999998</v>
      </c>
    </row>
    <row r="7" spans="1:15" ht="15.75" x14ac:dyDescent="0.25">
      <c r="A7" s="70">
        <v>46070</v>
      </c>
      <c r="B7" s="13" t="s">
        <v>392</v>
      </c>
      <c r="C7" s="24">
        <v>5</v>
      </c>
      <c r="D7" s="130">
        <v>10.725</v>
      </c>
      <c r="E7" s="130">
        <v>3.536</v>
      </c>
      <c r="F7" s="130">
        <v>20.789000000000001</v>
      </c>
      <c r="G7" s="130">
        <v>7.202</v>
      </c>
      <c r="H7" s="130">
        <v>0.96099999999999997</v>
      </c>
      <c r="I7" s="130">
        <v>0.14899999999999999</v>
      </c>
      <c r="J7" s="130">
        <v>9.2999999999999999E-2</v>
      </c>
      <c r="K7" s="130">
        <v>0</v>
      </c>
      <c r="L7" s="152">
        <f t="shared" ref="L7" si="4">+((D7-H7)*4.99)/C7</f>
        <v>9.744472</v>
      </c>
      <c r="M7" s="152">
        <f t="shared" ref="M7" si="5">((E7-I7)*8.2264)/C7</f>
        <v>5.5725633600000002</v>
      </c>
      <c r="N7" s="152">
        <f t="shared" ref="N7" si="6">((F7-J7)*0.2557)/C7</f>
        <v>1.0583934400000001</v>
      </c>
      <c r="O7" s="153">
        <f t="shared" ref="O7" si="7">((G7-K7)*0.4348)/C7</f>
        <v>0.62628592000000005</v>
      </c>
    </row>
  </sheetData>
  <mergeCells count="2">
    <mergeCell ref="A1:O1"/>
    <mergeCell ref="L2:O2"/>
  </mergeCells>
  <phoneticPr fontId="3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6"/>
  <sheetViews>
    <sheetView zoomScale="95" zoomScaleNormal="95" workbookViewId="0">
      <pane ySplit="3" topLeftCell="A4" activePane="bottomLeft" state="frozen"/>
      <selection pane="bottomLeft" activeCell="B6" sqref="B6"/>
    </sheetView>
  </sheetViews>
  <sheetFormatPr baseColWidth="10" defaultColWidth="9.140625" defaultRowHeight="15.75" x14ac:dyDescent="0.25"/>
  <cols>
    <col min="1" max="1" width="14.5703125" style="14" customWidth="1"/>
    <col min="2" max="2" width="19" style="14" customWidth="1"/>
    <col min="3" max="3" width="11.7109375" style="14" customWidth="1"/>
    <col min="4" max="4" width="13.140625" style="14" customWidth="1"/>
    <col min="5" max="6" width="11.7109375" style="14" customWidth="1"/>
    <col min="7" max="7" width="14" style="14" customWidth="1"/>
    <col min="8" max="8" width="11.7109375" style="14" customWidth="1"/>
    <col min="9" max="9" width="9.140625" style="14" customWidth="1"/>
    <col min="10" max="10" width="10.5703125" style="14" customWidth="1"/>
    <col min="11" max="11" width="8.7109375" style="14" customWidth="1"/>
    <col min="12" max="12" width="9.7109375" style="14" customWidth="1"/>
    <col min="13" max="13" width="7.7109375" style="14" customWidth="1"/>
    <col min="14" max="14" width="12" style="14" customWidth="1"/>
    <col min="15" max="15" width="11.5703125" style="14" customWidth="1"/>
    <col min="16" max="16" width="12.140625" style="14" customWidth="1"/>
    <col min="17" max="17" width="11.7109375" style="14" customWidth="1"/>
    <col min="18" max="16384" width="9.140625" style="14"/>
  </cols>
  <sheetData>
    <row r="1" spans="1:18" s="34" customFormat="1" ht="26.25" customHeight="1" x14ac:dyDescent="0.35">
      <c r="A1" s="178" t="s">
        <v>17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</row>
    <row r="2" spans="1:18" s="34" customFormat="1" ht="20.25" customHeight="1" thickBot="1" x14ac:dyDescent="0.4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</row>
    <row r="3" spans="1:18" ht="39.75" customHeight="1" thickBot="1" x14ac:dyDescent="0.3">
      <c r="A3" s="35" t="s">
        <v>3</v>
      </c>
      <c r="B3" s="35" t="s">
        <v>18</v>
      </c>
      <c r="C3" s="36" t="s">
        <v>19</v>
      </c>
      <c r="D3" s="36" t="s">
        <v>20</v>
      </c>
      <c r="E3" s="36" t="s">
        <v>21</v>
      </c>
      <c r="F3" s="36" t="s">
        <v>22</v>
      </c>
      <c r="G3" s="36" t="s">
        <v>23</v>
      </c>
      <c r="H3" s="36" t="s">
        <v>24</v>
      </c>
      <c r="I3" s="37" t="s">
        <v>25</v>
      </c>
      <c r="J3" s="37" t="s">
        <v>26</v>
      </c>
      <c r="K3" s="37" t="s">
        <v>27</v>
      </c>
      <c r="L3" s="37" t="s">
        <v>28</v>
      </c>
      <c r="M3" s="37" t="s">
        <v>29</v>
      </c>
      <c r="N3" s="36" t="s">
        <v>30</v>
      </c>
      <c r="O3" s="36" t="s">
        <v>31</v>
      </c>
      <c r="P3" s="36" t="s">
        <v>32</v>
      </c>
      <c r="Q3" s="36" t="s">
        <v>33</v>
      </c>
      <c r="R3" s="36" t="s">
        <v>8</v>
      </c>
    </row>
    <row r="4" spans="1:18" x14ac:dyDescent="0.25">
      <c r="A4" s="136">
        <v>46049</v>
      </c>
      <c r="B4" s="71" t="s">
        <v>396</v>
      </c>
      <c r="C4" s="24">
        <v>5</v>
      </c>
      <c r="D4" s="130">
        <v>0.105</v>
      </c>
      <c r="E4" s="130">
        <v>0.58399999999999996</v>
      </c>
      <c r="F4" s="130">
        <v>1.423</v>
      </c>
      <c r="G4" s="130">
        <v>14.614000000000001</v>
      </c>
      <c r="H4" s="24"/>
      <c r="I4" s="139">
        <v>0</v>
      </c>
      <c r="J4" s="130">
        <v>1.2999999999999999E-2</v>
      </c>
      <c r="K4" s="130">
        <v>0.25</v>
      </c>
      <c r="L4" s="139">
        <v>0</v>
      </c>
      <c r="M4" s="24"/>
      <c r="N4" s="125">
        <f t="shared" ref="N4:N5" si="0">+((D4-I4)*25)/C4</f>
        <v>0.52500000000000002</v>
      </c>
      <c r="O4" s="125">
        <f t="shared" ref="O4:O5" si="1">+((E4-J4)*25)/C4</f>
        <v>2.8549999999999995</v>
      </c>
      <c r="P4" s="125">
        <f t="shared" ref="P4:P5" si="2">+((F4-K4)*25)/C4</f>
        <v>5.8650000000000002</v>
      </c>
      <c r="Q4" s="125">
        <f t="shared" ref="Q4:Q5" si="3">+((G4-L4)*25)/C4</f>
        <v>73.070000000000007</v>
      </c>
    </row>
    <row r="5" spans="1:18" x14ac:dyDescent="0.25">
      <c r="A5" s="136">
        <v>46049</v>
      </c>
      <c r="B5" s="71" t="s">
        <v>397</v>
      </c>
      <c r="C5" s="24">
        <v>5</v>
      </c>
      <c r="D5" s="130">
        <v>0.23400000000000001</v>
      </c>
      <c r="E5" s="130">
        <v>0.27300000000000002</v>
      </c>
      <c r="F5" s="130">
        <v>2.786</v>
      </c>
      <c r="G5" s="130">
        <v>5.0990000000000002</v>
      </c>
      <c r="H5" s="24"/>
      <c r="I5" s="139">
        <v>0</v>
      </c>
      <c r="J5" s="130">
        <v>1.2999999999999999E-2</v>
      </c>
      <c r="K5" s="130">
        <v>0.25</v>
      </c>
      <c r="L5" s="139">
        <v>0</v>
      </c>
      <c r="M5" s="24"/>
      <c r="N5" s="125">
        <f t="shared" si="0"/>
        <v>1.1700000000000002</v>
      </c>
      <c r="O5" s="125">
        <f t="shared" si="1"/>
        <v>1.3</v>
      </c>
      <c r="P5" s="125">
        <f t="shared" si="2"/>
        <v>12.68</v>
      </c>
      <c r="Q5" s="125">
        <f t="shared" si="3"/>
        <v>25.495000000000001</v>
      </c>
    </row>
    <row r="6" spans="1:18" x14ac:dyDescent="0.25">
      <c r="A6" s="70">
        <v>46070</v>
      </c>
      <c r="B6" s="13" t="s">
        <v>392</v>
      </c>
      <c r="C6" s="24">
        <v>5</v>
      </c>
      <c r="D6" s="130">
        <v>0.11700000000000001</v>
      </c>
      <c r="E6" s="130">
        <v>0.45900000000000002</v>
      </c>
      <c r="F6" s="130">
        <v>0.46600000000000003</v>
      </c>
      <c r="G6" s="130">
        <v>8.157</v>
      </c>
      <c r="H6" s="24"/>
      <c r="I6" s="139">
        <v>0</v>
      </c>
      <c r="J6" s="139">
        <v>0</v>
      </c>
      <c r="K6" s="139">
        <v>0</v>
      </c>
      <c r="L6" s="130">
        <v>2.9000000000000001E-2</v>
      </c>
      <c r="M6" s="24"/>
      <c r="N6" s="145">
        <f t="shared" ref="N6" si="4">+((D6-I6)*25)/C6</f>
        <v>0.58500000000000008</v>
      </c>
      <c r="O6" s="145">
        <f t="shared" ref="O6" si="5">+((E6-J6)*25)/C6</f>
        <v>2.2949999999999999</v>
      </c>
      <c r="P6" s="145">
        <f t="shared" ref="P6" si="6">+((F6-K6)*25)/C6</f>
        <v>2.33</v>
      </c>
      <c r="Q6" s="145">
        <f t="shared" ref="Q6" si="7">+((G6-L6)*25)/C6</f>
        <v>40.64</v>
      </c>
    </row>
  </sheetData>
  <mergeCells count="1">
    <mergeCell ref="A1:R2"/>
  </mergeCells>
  <phoneticPr fontId="3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CD33-18E4-41D5-B40D-F6DBB530C7D0}">
  <sheetPr>
    <tabColor theme="9"/>
  </sheetPr>
  <dimension ref="A1:H22"/>
  <sheetViews>
    <sheetView zoomScale="90" zoomScaleNormal="90" workbookViewId="0">
      <selection activeCell="C18" sqref="C18"/>
    </sheetView>
  </sheetViews>
  <sheetFormatPr baseColWidth="10" defaultRowHeight="15" x14ac:dyDescent="0.25"/>
  <cols>
    <col min="1" max="1" width="11.5703125" bestFit="1" customWidth="1"/>
    <col min="2" max="2" width="13.85546875" bestFit="1" customWidth="1"/>
    <col min="3" max="3" width="12.42578125" bestFit="1" customWidth="1"/>
    <col min="4" max="4" width="12.5703125" style="71" bestFit="1" customWidth="1"/>
    <col min="5" max="6" width="17.7109375" customWidth="1"/>
    <col min="7" max="7" width="16.140625" customWidth="1"/>
    <col min="8" max="8" width="15" customWidth="1"/>
  </cols>
  <sheetData>
    <row r="1" spans="1:8" ht="12" customHeight="1" x14ac:dyDescent="0.25">
      <c r="A1" s="180" t="s">
        <v>393</v>
      </c>
      <c r="B1" s="180"/>
      <c r="C1" s="180"/>
      <c r="D1" s="180"/>
      <c r="E1" s="180"/>
      <c r="F1" s="180"/>
      <c r="G1" s="180"/>
      <c r="H1" s="180"/>
    </row>
    <row r="2" spans="1:8" ht="9.75" customHeight="1" x14ac:dyDescent="0.25">
      <c r="A2" s="180"/>
      <c r="B2" s="180"/>
      <c r="C2" s="180"/>
      <c r="D2" s="180"/>
      <c r="E2" s="180"/>
      <c r="F2" s="180"/>
      <c r="G2" s="180"/>
      <c r="H2" s="180"/>
    </row>
    <row r="3" spans="1:8" ht="10.5" customHeight="1" x14ac:dyDescent="0.25">
      <c r="A3" s="180"/>
      <c r="B3" s="180"/>
      <c r="C3" s="180"/>
      <c r="D3" s="180"/>
      <c r="E3" s="180"/>
      <c r="F3" s="180"/>
      <c r="G3" s="180"/>
      <c r="H3" s="180"/>
    </row>
    <row r="4" spans="1:8" x14ac:dyDescent="0.25">
      <c r="B4" s="71"/>
    </row>
    <row r="5" spans="1:8" ht="16.5" thickBot="1" x14ac:dyDescent="0.3">
      <c r="A5" s="17"/>
      <c r="B5" s="12"/>
      <c r="C5" s="17"/>
      <c r="E5" s="149"/>
      <c r="F5" s="149"/>
      <c r="G5" s="13"/>
      <c r="H5" s="24"/>
    </row>
    <row r="6" spans="1:8" ht="15.75" thickBot="1" x14ac:dyDescent="0.3">
      <c r="A6" s="146" t="s">
        <v>3</v>
      </c>
      <c r="B6" s="146" t="s">
        <v>388</v>
      </c>
      <c r="C6" s="147" t="s">
        <v>389</v>
      </c>
      <c r="D6" s="147" t="s">
        <v>41</v>
      </c>
      <c r="E6" s="146" t="s">
        <v>394</v>
      </c>
      <c r="F6" s="181" t="s">
        <v>378</v>
      </c>
      <c r="G6" s="182"/>
    </row>
    <row r="7" spans="1:8" ht="15.75" thickBot="1" x14ac:dyDescent="0.3">
      <c r="A7" s="136">
        <v>46065</v>
      </c>
      <c r="B7" s="17" t="s">
        <v>16</v>
      </c>
      <c r="C7" s="17">
        <v>0</v>
      </c>
      <c r="D7" s="71">
        <v>7.0000000000000007E-2</v>
      </c>
      <c r="E7" s="149">
        <f t="shared" ref="E7:E17" si="0">((D7*1)-C7)*25/10*(100+1.408/100)</f>
        <v>17.502464000000003</v>
      </c>
      <c r="F7" s="147" t="s">
        <v>391</v>
      </c>
      <c r="G7" s="148" t="s">
        <v>41</v>
      </c>
    </row>
    <row r="8" spans="1:8" ht="15.75" x14ac:dyDescent="0.25">
      <c r="A8" s="17"/>
      <c r="B8" s="17" t="s">
        <v>396</v>
      </c>
      <c r="C8" s="17">
        <v>0</v>
      </c>
      <c r="D8" s="71">
        <v>8.0000000000000002E-3</v>
      </c>
      <c r="E8" s="149">
        <f t="shared" si="0"/>
        <v>2.0002816000000001</v>
      </c>
      <c r="F8" s="13">
        <v>0</v>
      </c>
      <c r="G8" s="24">
        <v>-0.01</v>
      </c>
    </row>
    <row r="9" spans="1:8" ht="15.75" x14ac:dyDescent="0.25">
      <c r="A9" s="17"/>
      <c r="B9" s="17" t="s">
        <v>397</v>
      </c>
      <c r="C9" s="17">
        <v>0</v>
      </c>
      <c r="D9" s="71">
        <v>6.0000000000000001E-3</v>
      </c>
      <c r="E9" s="149">
        <f>((D9*1)-C9)*25/10*(100+1.408/100)</f>
        <v>1.5002112000000001</v>
      </c>
      <c r="F9" s="13">
        <v>0</v>
      </c>
      <c r="G9" s="24">
        <v>-8.0000000000000002E-3</v>
      </c>
    </row>
    <row r="10" spans="1:8" ht="15.75" x14ac:dyDescent="0.25">
      <c r="A10" s="17"/>
      <c r="B10" s="17" t="s">
        <v>398</v>
      </c>
      <c r="C10" s="17">
        <v>0</v>
      </c>
      <c r="D10" s="71">
        <v>1E-3</v>
      </c>
      <c r="E10" s="149">
        <f>((D10*1)-C10)*25/10*(100+1.408/100)</f>
        <v>0.25003520000000001</v>
      </c>
      <c r="F10" s="13">
        <v>2</v>
      </c>
      <c r="G10" s="24">
        <v>6.9000000000000006E-2</v>
      </c>
    </row>
    <row r="11" spans="1:8" ht="15.75" x14ac:dyDescent="0.25">
      <c r="A11" s="17"/>
      <c r="B11" s="17" t="s">
        <v>399</v>
      </c>
      <c r="C11" s="17">
        <v>0</v>
      </c>
      <c r="D11" s="71">
        <v>5.6000000000000001E-2</v>
      </c>
      <c r="E11" s="149">
        <f>((D11*1)-C11)*25/10*(100+1.408/100)</f>
        <v>14.001971200000002</v>
      </c>
      <c r="F11" s="13">
        <v>2</v>
      </c>
      <c r="G11" s="24">
        <v>7.1999999999999995E-2</v>
      </c>
    </row>
    <row r="12" spans="1:8" ht="15.75" x14ac:dyDescent="0.25">
      <c r="A12" s="17"/>
      <c r="B12" s="17" t="s">
        <v>400</v>
      </c>
      <c r="C12" s="17">
        <v>0</v>
      </c>
      <c r="D12" s="71">
        <v>2.5999999999999999E-2</v>
      </c>
      <c r="E12" s="149">
        <f t="shared" si="0"/>
        <v>6.5009152000000006</v>
      </c>
      <c r="F12" s="13">
        <v>4</v>
      </c>
      <c r="G12" s="24">
        <v>0.121</v>
      </c>
    </row>
    <row r="13" spans="1:8" ht="15.75" x14ac:dyDescent="0.25">
      <c r="A13" s="17"/>
      <c r="B13" s="17" t="s">
        <v>401</v>
      </c>
      <c r="C13" s="17">
        <v>0</v>
      </c>
      <c r="D13" s="71">
        <v>5.0000000000000001E-3</v>
      </c>
      <c r="E13" s="149">
        <f t="shared" si="0"/>
        <v>1.2501760000000002</v>
      </c>
      <c r="F13" s="13">
        <v>4</v>
      </c>
      <c r="G13" s="24">
        <v>0.129</v>
      </c>
    </row>
    <row r="14" spans="1:8" ht="15.75" x14ac:dyDescent="0.25">
      <c r="A14" s="17"/>
      <c r="B14" s="12"/>
      <c r="C14" s="17"/>
      <c r="E14" s="149"/>
      <c r="F14" s="13">
        <v>6</v>
      </c>
      <c r="G14" s="24">
        <v>0.23599999999999999</v>
      </c>
    </row>
    <row r="15" spans="1:8" ht="15.75" x14ac:dyDescent="0.25">
      <c r="A15" s="17"/>
      <c r="B15" s="12"/>
      <c r="C15" s="17"/>
      <c r="E15" s="149"/>
      <c r="F15" s="13">
        <v>6</v>
      </c>
      <c r="G15" s="24">
        <v>0.26200000000000001</v>
      </c>
    </row>
    <row r="16" spans="1:8" ht="15.75" x14ac:dyDescent="0.25">
      <c r="A16" s="17"/>
      <c r="B16" s="12"/>
      <c r="C16" s="17"/>
      <c r="E16" s="149"/>
      <c r="F16" s="13">
        <v>8</v>
      </c>
      <c r="G16" s="24">
        <v>0.32800000000000001</v>
      </c>
    </row>
    <row r="17" spans="1:7" ht="15.75" x14ac:dyDescent="0.25">
      <c r="A17" s="17"/>
      <c r="B17" s="12"/>
      <c r="C17" s="17"/>
      <c r="E17" s="149"/>
      <c r="F17" s="13">
        <v>8</v>
      </c>
      <c r="G17" s="24">
        <v>0.29199999999999998</v>
      </c>
    </row>
    <row r="18" spans="1:7" ht="15.75" x14ac:dyDescent="0.25">
      <c r="A18" s="70"/>
      <c r="B18" s="12"/>
      <c r="C18" s="17"/>
      <c r="E18" s="149"/>
      <c r="F18" s="13">
        <v>10</v>
      </c>
      <c r="G18" s="24">
        <v>0.372</v>
      </c>
    </row>
    <row r="19" spans="1:7" ht="15.75" x14ac:dyDescent="0.25">
      <c r="A19" s="17"/>
      <c r="B19" s="12"/>
      <c r="C19" s="17"/>
      <c r="E19" s="149"/>
      <c r="F19" s="13">
        <v>10</v>
      </c>
      <c r="G19" s="24">
        <v>0.374</v>
      </c>
    </row>
    <row r="20" spans="1:7" ht="15.75" x14ac:dyDescent="0.25">
      <c r="A20" s="17"/>
      <c r="B20" s="12"/>
      <c r="C20" s="17"/>
      <c r="E20" s="149"/>
      <c r="F20" s="13"/>
      <c r="G20" s="24"/>
    </row>
    <row r="21" spans="1:7" ht="15.75" x14ac:dyDescent="0.25">
      <c r="A21" s="17"/>
      <c r="B21" s="12"/>
      <c r="C21" s="17"/>
      <c r="E21" s="149"/>
      <c r="F21" s="13"/>
      <c r="G21" s="24"/>
    </row>
    <row r="22" spans="1:7" x14ac:dyDescent="0.25">
      <c r="F22" s="150"/>
    </row>
  </sheetData>
  <mergeCells count="2">
    <mergeCell ref="A1:H3"/>
    <mergeCell ref="F6:G6"/>
  </mergeCells>
  <phoneticPr fontId="34" type="noConversion"/>
  <pageMargins left="0.70866141732283472" right="0.70866141732283472" top="0.35433070866141736" bottom="0.15748031496062992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I16"/>
  <sheetViews>
    <sheetView zoomScale="87" zoomScaleNormal="87" workbookViewId="0">
      <pane ySplit="1" topLeftCell="A2" activePane="bottomLeft" state="frozen"/>
      <selection pane="bottomLeft" activeCell="C6" sqref="C6:F13"/>
    </sheetView>
  </sheetViews>
  <sheetFormatPr baseColWidth="10" defaultColWidth="11.42578125" defaultRowHeight="15" x14ac:dyDescent="0.25"/>
  <cols>
    <col min="2" max="2" width="19.28515625" customWidth="1"/>
    <col min="3" max="3" width="13.140625" customWidth="1"/>
    <col min="4" max="4" width="13.7109375" bestFit="1" customWidth="1"/>
    <col min="5" max="5" width="14.28515625" customWidth="1"/>
    <col min="6" max="6" width="16.140625" customWidth="1"/>
    <col min="7" max="7" width="18" customWidth="1"/>
  </cols>
  <sheetData>
    <row r="1" spans="1:9" ht="42.75" customHeight="1" x14ac:dyDescent="0.25">
      <c r="A1" s="23"/>
      <c r="B1" s="183" t="s">
        <v>38</v>
      </c>
      <c r="C1" s="184"/>
      <c r="D1" s="184"/>
      <c r="E1" s="184"/>
      <c r="F1" s="184"/>
      <c r="G1" s="184"/>
      <c r="H1" s="184"/>
      <c r="I1" s="185"/>
    </row>
    <row r="2" spans="1:9" ht="15.75" x14ac:dyDescent="0.25">
      <c r="B2" s="12"/>
      <c r="C2" s="24"/>
      <c r="D2" s="24"/>
      <c r="E2" s="13"/>
      <c r="F2" s="13"/>
      <c r="G2" s="33"/>
      <c r="H2" s="12"/>
      <c r="I2" s="12"/>
    </row>
    <row r="3" spans="1:9" ht="15.75" thickBot="1" x14ac:dyDescent="0.3"/>
    <row r="4" spans="1:9" ht="18.75" thickBot="1" x14ac:dyDescent="0.3">
      <c r="B4" s="60" t="s">
        <v>39</v>
      </c>
      <c r="C4" s="61" t="s">
        <v>40</v>
      </c>
      <c r="D4" s="61" t="s">
        <v>41</v>
      </c>
      <c r="E4" s="61" t="s">
        <v>42</v>
      </c>
      <c r="F4" s="62" t="s">
        <v>43</v>
      </c>
      <c r="G4" s="63" t="s">
        <v>3</v>
      </c>
      <c r="H4" s="186" t="s">
        <v>44</v>
      </c>
      <c r="I4" s="187"/>
    </row>
    <row r="5" spans="1:9" ht="15.75" x14ac:dyDescent="0.25">
      <c r="B5" s="12" t="s">
        <v>16</v>
      </c>
      <c r="C5" s="24">
        <v>0</v>
      </c>
      <c r="D5" s="24">
        <v>0.66300000000000003</v>
      </c>
      <c r="E5" s="13">
        <f>((D5-C5)/0.0481)</f>
        <v>13.783783783783786</v>
      </c>
      <c r="F5" s="39">
        <f>E5*5</f>
        <v>68.918918918918934</v>
      </c>
      <c r="G5" s="33">
        <v>46106</v>
      </c>
      <c r="H5" s="51">
        <v>1</v>
      </c>
      <c r="I5" s="24">
        <v>5.0999999999999997E-2</v>
      </c>
    </row>
    <row r="6" spans="1:9" ht="15.75" x14ac:dyDescent="0.25">
      <c r="B6" s="71" t="s">
        <v>396</v>
      </c>
      <c r="C6" s="24">
        <v>0</v>
      </c>
      <c r="D6" s="130">
        <v>0.52500000000000002</v>
      </c>
      <c r="E6" s="119">
        <f>((D6-C6)/0.0481)</f>
        <v>10.914760914760915</v>
      </c>
      <c r="F6" s="72">
        <f>E6*5</f>
        <v>54.57380457380458</v>
      </c>
      <c r="H6" s="51">
        <v>1</v>
      </c>
      <c r="I6" s="24">
        <v>5.3999999999999999E-2</v>
      </c>
    </row>
    <row r="7" spans="1:9" ht="15.75" x14ac:dyDescent="0.25">
      <c r="B7" s="71" t="s">
        <v>397</v>
      </c>
      <c r="C7" s="24">
        <v>0</v>
      </c>
      <c r="D7" s="130">
        <v>1.6E-2</v>
      </c>
      <c r="E7" s="119">
        <f t="shared" ref="E7:E15" si="0">((D7-C7)/0.0481)</f>
        <v>0.33264033264033266</v>
      </c>
      <c r="F7" s="72">
        <f t="shared" ref="F7:F15" si="1">E7*5</f>
        <v>1.6632016632016633</v>
      </c>
      <c r="H7" s="51">
        <v>2</v>
      </c>
      <c r="I7" s="24">
        <v>0.105</v>
      </c>
    </row>
    <row r="8" spans="1:9" ht="15.75" x14ac:dyDescent="0.25">
      <c r="B8" s="71" t="s">
        <v>398</v>
      </c>
      <c r="C8" s="24">
        <v>0</v>
      </c>
      <c r="D8" s="130">
        <v>0.02</v>
      </c>
      <c r="E8" s="119">
        <f t="shared" si="0"/>
        <v>0.41580041580041582</v>
      </c>
      <c r="F8" s="72">
        <f t="shared" si="1"/>
        <v>2.0790020790020791</v>
      </c>
      <c r="H8" s="51">
        <v>2</v>
      </c>
      <c r="I8" s="24">
        <v>0.108</v>
      </c>
    </row>
    <row r="9" spans="1:9" ht="15.75" x14ac:dyDescent="0.25">
      <c r="B9" s="71" t="s">
        <v>399</v>
      </c>
      <c r="C9" s="24">
        <v>0</v>
      </c>
      <c r="D9" s="130">
        <v>0.02</v>
      </c>
      <c r="E9" s="119">
        <f t="shared" si="0"/>
        <v>0.41580041580041582</v>
      </c>
      <c r="F9" s="72">
        <f t="shared" si="1"/>
        <v>2.0790020790020791</v>
      </c>
      <c r="H9" s="51">
        <v>4</v>
      </c>
      <c r="I9" s="24">
        <v>0.20399999999999999</v>
      </c>
    </row>
    <row r="10" spans="1:9" ht="15.75" x14ac:dyDescent="0.25">
      <c r="B10" s="71" t="s">
        <v>400</v>
      </c>
      <c r="C10" s="24">
        <v>0</v>
      </c>
      <c r="D10" s="130">
        <v>1.7999999999999999E-2</v>
      </c>
      <c r="E10" s="119">
        <f t="shared" si="0"/>
        <v>0.37422037422037424</v>
      </c>
      <c r="F10" s="72">
        <f t="shared" si="1"/>
        <v>1.8711018711018712</v>
      </c>
      <c r="H10" s="51">
        <v>4</v>
      </c>
      <c r="I10" s="24">
        <v>0.20499999999999999</v>
      </c>
    </row>
    <row r="11" spans="1:9" ht="15.75" x14ac:dyDescent="0.25">
      <c r="B11" s="71" t="s">
        <v>401</v>
      </c>
      <c r="C11" s="24">
        <v>0</v>
      </c>
      <c r="D11" s="130">
        <v>3.7999999999999999E-2</v>
      </c>
      <c r="E11" s="119">
        <f t="shared" si="0"/>
        <v>0.79002079002079006</v>
      </c>
      <c r="F11" s="72">
        <f t="shared" si="1"/>
        <v>3.9501039501039505</v>
      </c>
      <c r="H11" s="51">
        <v>5</v>
      </c>
      <c r="I11" s="24">
        <v>0.25800000000000001</v>
      </c>
    </row>
    <row r="12" spans="1:9" ht="15.75" x14ac:dyDescent="0.25">
      <c r="B12" s="71" t="s">
        <v>402</v>
      </c>
      <c r="C12" s="24">
        <v>0</v>
      </c>
      <c r="D12" s="130">
        <v>2.1000000000000001E-2</v>
      </c>
      <c r="E12" s="72">
        <f t="shared" si="0"/>
        <v>0.43659043659043667</v>
      </c>
      <c r="F12" s="72">
        <f t="shared" si="1"/>
        <v>2.1829521829521834</v>
      </c>
      <c r="H12" s="51">
        <v>5</v>
      </c>
      <c r="I12" s="24">
        <v>0.25700000000000001</v>
      </c>
    </row>
    <row r="13" spans="1:9" ht="15.75" x14ac:dyDescent="0.25">
      <c r="B13" s="71" t="s">
        <v>403</v>
      </c>
      <c r="C13" s="24">
        <v>0</v>
      </c>
      <c r="D13" s="130">
        <v>0.19700000000000001</v>
      </c>
      <c r="E13" s="72">
        <f t="shared" si="0"/>
        <v>4.0956340956340958</v>
      </c>
      <c r="F13" s="72">
        <f t="shared" si="1"/>
        <v>20.47817047817048</v>
      </c>
      <c r="H13" s="51">
        <v>10</v>
      </c>
      <c r="I13" s="24">
        <v>0.499</v>
      </c>
    </row>
    <row r="14" spans="1:9" ht="15.75" x14ac:dyDescent="0.25">
      <c r="B14" s="71" t="s">
        <v>16</v>
      </c>
      <c r="C14" s="24">
        <v>0</v>
      </c>
      <c r="D14" s="130">
        <v>0.69399999999999995</v>
      </c>
      <c r="E14" s="119">
        <f t="shared" si="0"/>
        <v>14.428274428274428</v>
      </c>
      <c r="F14" s="72">
        <f t="shared" si="1"/>
        <v>72.14137214137213</v>
      </c>
      <c r="H14" s="51">
        <v>10</v>
      </c>
      <c r="I14" s="24">
        <v>0.499</v>
      </c>
    </row>
    <row r="15" spans="1:9" ht="15.75" x14ac:dyDescent="0.25">
      <c r="B15" s="71" t="s">
        <v>16</v>
      </c>
      <c r="C15" s="24">
        <v>0</v>
      </c>
      <c r="D15" s="130">
        <v>0.69</v>
      </c>
      <c r="E15" s="119">
        <f t="shared" si="0"/>
        <v>14.345114345114345</v>
      </c>
      <c r="F15" s="72">
        <f t="shared" si="1"/>
        <v>71.725571725571726</v>
      </c>
      <c r="H15" s="51">
        <v>20</v>
      </c>
      <c r="I15" s="24">
        <v>0.97099999999999997</v>
      </c>
    </row>
    <row r="16" spans="1:9" ht="15.75" x14ac:dyDescent="0.25">
      <c r="H16" s="51">
        <v>20</v>
      </c>
      <c r="I16" s="24">
        <v>0.96499999999999997</v>
      </c>
    </row>
  </sheetData>
  <mergeCells count="2">
    <mergeCell ref="B1:I1"/>
    <mergeCell ref="H4:I4"/>
  </mergeCells>
  <phoneticPr fontId="34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546"/>
  <sheetViews>
    <sheetView workbookViewId="0">
      <pane ySplit="3" topLeftCell="A4" activePane="bottomLeft" state="frozen"/>
      <selection pane="bottomLeft" activeCell="B8" sqref="B8"/>
    </sheetView>
  </sheetViews>
  <sheetFormatPr baseColWidth="10" defaultColWidth="9.140625" defaultRowHeight="15.75" x14ac:dyDescent="0.25"/>
  <cols>
    <col min="1" max="1" width="18.7109375" customWidth="1"/>
    <col min="2" max="2" width="20.7109375" customWidth="1"/>
    <col min="3" max="4" width="25" style="14" customWidth="1"/>
    <col min="5" max="5" width="23.28515625" customWidth="1"/>
    <col min="9" max="9" width="13.140625" customWidth="1"/>
  </cols>
  <sheetData>
    <row r="1" spans="1:5" ht="15.75" customHeight="1" x14ac:dyDescent="0.25">
      <c r="A1" s="188" t="s">
        <v>45</v>
      </c>
      <c r="B1" s="188"/>
      <c r="C1" s="188"/>
      <c r="D1" s="188"/>
      <c r="E1" s="188"/>
    </row>
    <row r="2" spans="1:5" ht="31.5" customHeight="1" thickBot="1" x14ac:dyDescent="0.3">
      <c r="A2" s="189"/>
      <c r="B2" s="189"/>
      <c r="C2" s="189"/>
      <c r="D2" s="189"/>
      <c r="E2" s="189"/>
    </row>
    <row r="3" spans="1:5" ht="36.75" customHeight="1" thickBot="1" x14ac:dyDescent="0.3">
      <c r="A3" s="15" t="s">
        <v>3</v>
      </c>
      <c r="B3" s="16" t="s">
        <v>46</v>
      </c>
      <c r="C3" s="16" t="s">
        <v>47</v>
      </c>
      <c r="D3" s="16" t="s">
        <v>48</v>
      </c>
      <c r="E3" s="16" t="s">
        <v>49</v>
      </c>
    </row>
    <row r="4" spans="1:5" x14ac:dyDescent="0.25">
      <c r="A4" s="136">
        <v>46062</v>
      </c>
      <c r="B4" s="12" t="s">
        <v>50</v>
      </c>
      <c r="C4" s="38">
        <v>1.4730000000000001</v>
      </c>
      <c r="D4" s="38">
        <v>24</v>
      </c>
      <c r="E4" s="24">
        <f>+C4*0.9985/1000</f>
        <v>1.4707905000000002E-3</v>
      </c>
    </row>
    <row r="5" spans="1:5" x14ac:dyDescent="0.25">
      <c r="A5" s="136">
        <v>46062</v>
      </c>
      <c r="B5" s="13" t="s">
        <v>392</v>
      </c>
      <c r="C5" s="38">
        <v>103.9</v>
      </c>
      <c r="D5" s="38">
        <v>24</v>
      </c>
      <c r="E5" s="88">
        <f>+(C5-$C$4)*0.994/1000</f>
        <v>0.10181243800000001</v>
      </c>
    </row>
    <row r="6" spans="1:5" x14ac:dyDescent="0.25">
      <c r="A6" s="136">
        <v>46062</v>
      </c>
      <c r="B6" s="12" t="s">
        <v>396</v>
      </c>
      <c r="C6" s="38">
        <v>52.44</v>
      </c>
      <c r="D6" s="38"/>
      <c r="E6" s="24">
        <f t="shared" ref="E6:E7" si="0">+(C6-$C$4)*0.994/1000</f>
        <v>5.0661197999999998E-2</v>
      </c>
    </row>
    <row r="7" spans="1:5" x14ac:dyDescent="0.25">
      <c r="A7" s="136">
        <v>46062</v>
      </c>
      <c r="B7" s="12" t="s">
        <v>397</v>
      </c>
      <c r="C7" s="38">
        <v>64.099999999999994</v>
      </c>
      <c r="D7" s="38"/>
      <c r="E7" s="24">
        <f t="shared" si="0"/>
        <v>6.2251237999999993E-2</v>
      </c>
    </row>
    <row r="8" spans="1:5" x14ac:dyDescent="0.25">
      <c r="E8" s="130"/>
    </row>
    <row r="9" spans="1:5" x14ac:dyDescent="0.25">
      <c r="E9" s="130"/>
    </row>
    <row r="10" spans="1:5" x14ac:dyDescent="0.25">
      <c r="E10" s="130"/>
    </row>
    <row r="11" spans="1:5" x14ac:dyDescent="0.25">
      <c r="E11" s="130"/>
    </row>
    <row r="12" spans="1:5" x14ac:dyDescent="0.25">
      <c r="E12" s="130"/>
    </row>
    <row r="13" spans="1:5" x14ac:dyDescent="0.25">
      <c r="E13" s="130"/>
    </row>
    <row r="14" spans="1:5" x14ac:dyDescent="0.25">
      <c r="E14" s="130"/>
    </row>
    <row r="15" spans="1:5" x14ac:dyDescent="0.25">
      <c r="E15" s="130"/>
    </row>
    <row r="16" spans="1:5" x14ac:dyDescent="0.25">
      <c r="E16" s="130"/>
    </row>
    <row r="17" spans="5:5" x14ac:dyDescent="0.25">
      <c r="E17" s="130"/>
    </row>
    <row r="18" spans="5:5" x14ac:dyDescent="0.25">
      <c r="E18" s="130"/>
    </row>
    <row r="19" spans="5:5" x14ac:dyDescent="0.25">
      <c r="E19" s="130"/>
    </row>
    <row r="20" spans="5:5" x14ac:dyDescent="0.25">
      <c r="E20" s="130"/>
    </row>
    <row r="21" spans="5:5" x14ac:dyDescent="0.25">
      <c r="E21" s="130"/>
    </row>
    <row r="22" spans="5:5" x14ac:dyDescent="0.25">
      <c r="E22" s="130"/>
    </row>
    <row r="23" spans="5:5" x14ac:dyDescent="0.25">
      <c r="E23" s="130"/>
    </row>
    <row r="24" spans="5:5" x14ac:dyDescent="0.25">
      <c r="E24" s="130"/>
    </row>
    <row r="25" spans="5:5" x14ac:dyDescent="0.25">
      <c r="E25" s="130"/>
    </row>
    <row r="26" spans="5:5" x14ac:dyDescent="0.25">
      <c r="E26" s="130"/>
    </row>
    <row r="27" spans="5:5" x14ac:dyDescent="0.25">
      <c r="E27" s="130"/>
    </row>
    <row r="28" spans="5:5" x14ac:dyDescent="0.25">
      <c r="E28" s="130"/>
    </row>
    <row r="29" spans="5:5" x14ac:dyDescent="0.25">
      <c r="E29" s="130"/>
    </row>
    <row r="30" spans="5:5" x14ac:dyDescent="0.25">
      <c r="E30" s="130"/>
    </row>
    <row r="31" spans="5:5" x14ac:dyDescent="0.25">
      <c r="E31" s="130"/>
    </row>
    <row r="32" spans="5:5" x14ac:dyDescent="0.25">
      <c r="E32" s="130"/>
    </row>
    <row r="33" spans="5:5" x14ac:dyDescent="0.25">
      <c r="E33" s="130"/>
    </row>
    <row r="34" spans="5:5" x14ac:dyDescent="0.25">
      <c r="E34" s="130"/>
    </row>
    <row r="35" spans="5:5" x14ac:dyDescent="0.25">
      <c r="E35" s="130"/>
    </row>
    <row r="36" spans="5:5" x14ac:dyDescent="0.25">
      <c r="E36" s="130"/>
    </row>
    <row r="37" spans="5:5" x14ac:dyDescent="0.25">
      <c r="E37" s="130"/>
    </row>
    <row r="38" spans="5:5" x14ac:dyDescent="0.25">
      <c r="E38" s="130"/>
    </row>
    <row r="39" spans="5:5" x14ac:dyDescent="0.25">
      <c r="E39" s="130"/>
    </row>
    <row r="40" spans="5:5" x14ac:dyDescent="0.25">
      <c r="E40" s="130"/>
    </row>
    <row r="41" spans="5:5" x14ac:dyDescent="0.25">
      <c r="E41" s="130"/>
    </row>
    <row r="42" spans="5:5" x14ac:dyDescent="0.25">
      <c r="E42" s="130"/>
    </row>
    <row r="43" spans="5:5" x14ac:dyDescent="0.25">
      <c r="E43" s="130"/>
    </row>
    <row r="44" spans="5:5" x14ac:dyDescent="0.25">
      <c r="E44" s="130"/>
    </row>
    <row r="45" spans="5:5" x14ac:dyDescent="0.25">
      <c r="E45" s="130"/>
    </row>
    <row r="46" spans="5:5" x14ac:dyDescent="0.25">
      <c r="E46" s="130"/>
    </row>
    <row r="47" spans="5:5" x14ac:dyDescent="0.25">
      <c r="E47" s="130"/>
    </row>
    <row r="48" spans="5:5" x14ac:dyDescent="0.25">
      <c r="E48" s="130"/>
    </row>
    <row r="49" spans="5:5" x14ac:dyDescent="0.25">
      <c r="E49" s="130"/>
    </row>
    <row r="50" spans="5:5" x14ac:dyDescent="0.25">
      <c r="E50" s="130"/>
    </row>
    <row r="51" spans="5:5" x14ac:dyDescent="0.25">
      <c r="E51" s="130"/>
    </row>
    <row r="52" spans="5:5" x14ac:dyDescent="0.25">
      <c r="E52" s="130"/>
    </row>
    <row r="53" spans="5:5" x14ac:dyDescent="0.25">
      <c r="E53" s="130"/>
    </row>
    <row r="54" spans="5:5" x14ac:dyDescent="0.25">
      <c r="E54" s="130"/>
    </row>
    <row r="55" spans="5:5" x14ac:dyDescent="0.25">
      <c r="E55" s="130"/>
    </row>
    <row r="56" spans="5:5" x14ac:dyDescent="0.25">
      <c r="E56" s="130"/>
    </row>
    <row r="57" spans="5:5" x14ac:dyDescent="0.25">
      <c r="E57" s="130"/>
    </row>
    <row r="58" spans="5:5" x14ac:dyDescent="0.25">
      <c r="E58" s="130"/>
    </row>
    <row r="59" spans="5:5" x14ac:dyDescent="0.25">
      <c r="E59" s="130"/>
    </row>
    <row r="60" spans="5:5" x14ac:dyDescent="0.25">
      <c r="E60" s="130"/>
    </row>
    <row r="61" spans="5:5" x14ac:dyDescent="0.25">
      <c r="E61" s="130"/>
    </row>
    <row r="62" spans="5:5" x14ac:dyDescent="0.25">
      <c r="E62" s="130"/>
    </row>
    <row r="63" spans="5:5" x14ac:dyDescent="0.25">
      <c r="E63" s="130"/>
    </row>
    <row r="64" spans="5:5" x14ac:dyDescent="0.25">
      <c r="E64" s="130"/>
    </row>
    <row r="65" spans="5:5" x14ac:dyDescent="0.25">
      <c r="E65" s="130"/>
    </row>
    <row r="66" spans="5:5" x14ac:dyDescent="0.25">
      <c r="E66" s="130"/>
    </row>
    <row r="67" spans="5:5" x14ac:dyDescent="0.25">
      <c r="E67" s="130"/>
    </row>
    <row r="68" spans="5:5" x14ac:dyDescent="0.25">
      <c r="E68" s="130"/>
    </row>
    <row r="69" spans="5:5" x14ac:dyDescent="0.25">
      <c r="E69" s="130"/>
    </row>
    <row r="70" spans="5:5" x14ac:dyDescent="0.25">
      <c r="E70" s="130"/>
    </row>
    <row r="71" spans="5:5" x14ac:dyDescent="0.25">
      <c r="E71" s="130"/>
    </row>
    <row r="72" spans="5:5" x14ac:dyDescent="0.25">
      <c r="E72" s="130"/>
    </row>
    <row r="73" spans="5:5" x14ac:dyDescent="0.25">
      <c r="E73" s="130"/>
    </row>
    <row r="74" spans="5:5" x14ac:dyDescent="0.25">
      <c r="E74" s="130"/>
    </row>
    <row r="75" spans="5:5" x14ac:dyDescent="0.25">
      <c r="E75" s="130"/>
    </row>
    <row r="76" spans="5:5" x14ac:dyDescent="0.25">
      <c r="E76" s="130"/>
    </row>
    <row r="77" spans="5:5" x14ac:dyDescent="0.25">
      <c r="E77" s="130"/>
    </row>
    <row r="78" spans="5:5" x14ac:dyDescent="0.25">
      <c r="E78" s="130"/>
    </row>
    <row r="79" spans="5:5" x14ac:dyDescent="0.25">
      <c r="E79" s="130"/>
    </row>
    <row r="80" spans="5:5" x14ac:dyDescent="0.25">
      <c r="E80" s="130"/>
    </row>
    <row r="81" spans="5:5" x14ac:dyDescent="0.25">
      <c r="E81" s="130"/>
    </row>
    <row r="82" spans="5:5" x14ac:dyDescent="0.25">
      <c r="E82" s="130"/>
    </row>
    <row r="83" spans="5:5" x14ac:dyDescent="0.25">
      <c r="E83" s="130"/>
    </row>
    <row r="84" spans="5:5" x14ac:dyDescent="0.25">
      <c r="E84" s="130"/>
    </row>
    <row r="85" spans="5:5" x14ac:dyDescent="0.25">
      <c r="E85" s="130"/>
    </row>
    <row r="86" spans="5:5" x14ac:dyDescent="0.25">
      <c r="E86" s="130"/>
    </row>
    <row r="87" spans="5:5" x14ac:dyDescent="0.25">
      <c r="E87" s="130"/>
    </row>
    <row r="88" spans="5:5" x14ac:dyDescent="0.25">
      <c r="E88" s="130"/>
    </row>
    <row r="89" spans="5:5" x14ac:dyDescent="0.25">
      <c r="E89" s="130"/>
    </row>
    <row r="90" spans="5:5" x14ac:dyDescent="0.25">
      <c r="E90" s="130"/>
    </row>
    <row r="91" spans="5:5" x14ac:dyDescent="0.25">
      <c r="E91" s="130"/>
    </row>
    <row r="92" spans="5:5" x14ac:dyDescent="0.25">
      <c r="E92" s="130"/>
    </row>
    <row r="93" spans="5:5" x14ac:dyDescent="0.25">
      <c r="E93" s="130"/>
    </row>
    <row r="94" spans="5:5" x14ac:dyDescent="0.25">
      <c r="E94" s="130"/>
    </row>
    <row r="95" spans="5:5" x14ac:dyDescent="0.25">
      <c r="E95" s="130"/>
    </row>
    <row r="96" spans="5:5" x14ac:dyDescent="0.25">
      <c r="E96" s="130"/>
    </row>
    <row r="97" spans="5:5" x14ac:dyDescent="0.25">
      <c r="E97" s="130"/>
    </row>
    <row r="98" spans="5:5" x14ac:dyDescent="0.25">
      <c r="E98" s="130"/>
    </row>
    <row r="99" spans="5:5" x14ac:dyDescent="0.25">
      <c r="E99" s="130"/>
    </row>
    <row r="100" spans="5:5" x14ac:dyDescent="0.25">
      <c r="E100" s="130"/>
    </row>
    <row r="101" spans="5:5" x14ac:dyDescent="0.25">
      <c r="E101" s="130"/>
    </row>
    <row r="102" spans="5:5" x14ac:dyDescent="0.25">
      <c r="E102" s="130"/>
    </row>
    <row r="103" spans="5:5" x14ac:dyDescent="0.25">
      <c r="E103" s="130"/>
    </row>
    <row r="104" spans="5:5" x14ac:dyDescent="0.25">
      <c r="E104" s="130"/>
    </row>
    <row r="105" spans="5:5" x14ac:dyDescent="0.25">
      <c r="E105" s="130"/>
    </row>
    <row r="106" spans="5:5" x14ac:dyDescent="0.25">
      <c r="E106" s="130"/>
    </row>
    <row r="107" spans="5:5" x14ac:dyDescent="0.25">
      <c r="E107" s="130"/>
    </row>
    <row r="108" spans="5:5" x14ac:dyDescent="0.25">
      <c r="E108" s="130"/>
    </row>
    <row r="109" spans="5:5" x14ac:dyDescent="0.25">
      <c r="E109" s="130"/>
    </row>
    <row r="110" spans="5:5" x14ac:dyDescent="0.25">
      <c r="E110" s="130"/>
    </row>
    <row r="111" spans="5:5" x14ac:dyDescent="0.25">
      <c r="E111" s="130"/>
    </row>
    <row r="112" spans="5:5" x14ac:dyDescent="0.25">
      <c r="E112" s="130"/>
    </row>
    <row r="113" spans="5:5" x14ac:dyDescent="0.25">
      <c r="E113" s="130"/>
    </row>
    <row r="114" spans="5:5" x14ac:dyDescent="0.25">
      <c r="E114" s="130"/>
    </row>
    <row r="115" spans="5:5" x14ac:dyDescent="0.25">
      <c r="E115" s="130"/>
    </row>
    <row r="116" spans="5:5" x14ac:dyDescent="0.25">
      <c r="E116" s="130"/>
    </row>
    <row r="117" spans="5:5" x14ac:dyDescent="0.25">
      <c r="E117" s="130"/>
    </row>
    <row r="118" spans="5:5" x14ac:dyDescent="0.25">
      <c r="E118" s="130"/>
    </row>
    <row r="119" spans="5:5" x14ac:dyDescent="0.25">
      <c r="E119" s="130"/>
    </row>
    <row r="120" spans="5:5" x14ac:dyDescent="0.25">
      <c r="E120" s="130"/>
    </row>
    <row r="121" spans="5:5" x14ac:dyDescent="0.25">
      <c r="E121" s="130"/>
    </row>
    <row r="122" spans="5:5" x14ac:dyDescent="0.25">
      <c r="E122" s="130"/>
    </row>
    <row r="123" spans="5:5" x14ac:dyDescent="0.25">
      <c r="E123" s="130"/>
    </row>
    <row r="124" spans="5:5" x14ac:dyDescent="0.25">
      <c r="E124" s="130"/>
    </row>
    <row r="125" spans="5:5" x14ac:dyDescent="0.25">
      <c r="E125" s="130"/>
    </row>
    <row r="126" spans="5:5" x14ac:dyDescent="0.25">
      <c r="E126" s="130"/>
    </row>
    <row r="127" spans="5:5" x14ac:dyDescent="0.25">
      <c r="E127" s="130"/>
    </row>
    <row r="128" spans="5:5" x14ac:dyDescent="0.25">
      <c r="E128" s="130"/>
    </row>
    <row r="129" spans="5:5" x14ac:dyDescent="0.25">
      <c r="E129" s="130"/>
    </row>
    <row r="130" spans="5:5" x14ac:dyDescent="0.25">
      <c r="E130" s="130"/>
    </row>
    <row r="131" spans="5:5" x14ac:dyDescent="0.25">
      <c r="E131" s="130"/>
    </row>
    <row r="132" spans="5:5" x14ac:dyDescent="0.25">
      <c r="E132" s="130"/>
    </row>
    <row r="133" spans="5:5" x14ac:dyDescent="0.25">
      <c r="E133" s="130"/>
    </row>
    <row r="134" spans="5:5" x14ac:dyDescent="0.25">
      <c r="E134" s="130"/>
    </row>
    <row r="135" spans="5:5" x14ac:dyDescent="0.25">
      <c r="E135" s="130"/>
    </row>
    <row r="136" spans="5:5" x14ac:dyDescent="0.25">
      <c r="E136" s="130"/>
    </row>
    <row r="137" spans="5:5" x14ac:dyDescent="0.25">
      <c r="E137" s="130"/>
    </row>
    <row r="138" spans="5:5" x14ac:dyDescent="0.25">
      <c r="E138" s="130"/>
    </row>
    <row r="139" spans="5:5" x14ac:dyDescent="0.25">
      <c r="E139" s="130"/>
    </row>
    <row r="140" spans="5:5" x14ac:dyDescent="0.25">
      <c r="E140" s="130"/>
    </row>
    <row r="141" spans="5:5" x14ac:dyDescent="0.25">
      <c r="E141" s="130"/>
    </row>
    <row r="142" spans="5:5" x14ac:dyDescent="0.25">
      <c r="E142" s="130"/>
    </row>
    <row r="143" spans="5:5" x14ac:dyDescent="0.25">
      <c r="E143" s="130"/>
    </row>
    <row r="144" spans="5:5" x14ac:dyDescent="0.25">
      <c r="E144" s="130"/>
    </row>
    <row r="145" spans="5:5" x14ac:dyDescent="0.25">
      <c r="E145" s="130"/>
    </row>
    <row r="146" spans="5:5" x14ac:dyDescent="0.25">
      <c r="E146" s="130"/>
    </row>
    <row r="147" spans="5:5" x14ac:dyDescent="0.25">
      <c r="E147" s="130"/>
    </row>
    <row r="148" spans="5:5" x14ac:dyDescent="0.25">
      <c r="E148" s="130"/>
    </row>
    <row r="149" spans="5:5" x14ac:dyDescent="0.25">
      <c r="E149" s="130"/>
    </row>
    <row r="150" spans="5:5" x14ac:dyDescent="0.25">
      <c r="E150" s="130"/>
    </row>
    <row r="151" spans="5:5" x14ac:dyDescent="0.25">
      <c r="E151" s="130"/>
    </row>
    <row r="152" spans="5:5" x14ac:dyDescent="0.25">
      <c r="E152" s="130"/>
    </row>
    <row r="153" spans="5:5" x14ac:dyDescent="0.25">
      <c r="E153" s="130"/>
    </row>
    <row r="154" spans="5:5" x14ac:dyDescent="0.25">
      <c r="E154" s="130"/>
    </row>
    <row r="155" spans="5:5" x14ac:dyDescent="0.25">
      <c r="E155" s="130"/>
    </row>
    <row r="156" spans="5:5" x14ac:dyDescent="0.25">
      <c r="E156" s="130"/>
    </row>
    <row r="157" spans="5:5" x14ac:dyDescent="0.25">
      <c r="E157" s="130"/>
    </row>
    <row r="158" spans="5:5" x14ac:dyDescent="0.25">
      <c r="E158" s="130"/>
    </row>
    <row r="159" spans="5:5" x14ac:dyDescent="0.25">
      <c r="E159" s="130"/>
    </row>
    <row r="160" spans="5:5" x14ac:dyDescent="0.25">
      <c r="E160" s="130"/>
    </row>
    <row r="161" spans="5:5" x14ac:dyDescent="0.25">
      <c r="E161" s="130"/>
    </row>
    <row r="162" spans="5:5" x14ac:dyDescent="0.25">
      <c r="E162" s="130"/>
    </row>
    <row r="163" spans="5:5" x14ac:dyDescent="0.25">
      <c r="E163" s="130"/>
    </row>
    <row r="164" spans="5:5" x14ac:dyDescent="0.25">
      <c r="E164" s="130"/>
    </row>
    <row r="165" spans="5:5" x14ac:dyDescent="0.25">
      <c r="E165" s="130"/>
    </row>
    <row r="166" spans="5:5" x14ac:dyDescent="0.25">
      <c r="E166" s="130"/>
    </row>
    <row r="167" spans="5:5" x14ac:dyDescent="0.25">
      <c r="E167" s="130"/>
    </row>
    <row r="168" spans="5:5" x14ac:dyDescent="0.25">
      <c r="E168" s="130"/>
    </row>
    <row r="169" spans="5:5" x14ac:dyDescent="0.25">
      <c r="E169" s="130"/>
    </row>
    <row r="170" spans="5:5" x14ac:dyDescent="0.25">
      <c r="E170" s="130"/>
    </row>
    <row r="171" spans="5:5" x14ac:dyDescent="0.25">
      <c r="E171" s="130"/>
    </row>
    <row r="172" spans="5:5" x14ac:dyDescent="0.25">
      <c r="E172" s="130"/>
    </row>
    <row r="173" spans="5:5" x14ac:dyDescent="0.25">
      <c r="E173" s="130"/>
    </row>
    <row r="174" spans="5:5" x14ac:dyDescent="0.25">
      <c r="E174" s="130"/>
    </row>
    <row r="175" spans="5:5" x14ac:dyDescent="0.25">
      <c r="E175" s="130"/>
    </row>
    <row r="176" spans="5:5" x14ac:dyDescent="0.25">
      <c r="E176" s="130"/>
    </row>
    <row r="177" spans="5:5" x14ac:dyDescent="0.25">
      <c r="E177" s="130"/>
    </row>
    <row r="178" spans="5:5" x14ac:dyDescent="0.25">
      <c r="E178" s="130"/>
    </row>
    <row r="179" spans="5:5" x14ac:dyDescent="0.25">
      <c r="E179" s="130"/>
    </row>
    <row r="180" spans="5:5" x14ac:dyDescent="0.25">
      <c r="E180" s="130"/>
    </row>
    <row r="181" spans="5:5" x14ac:dyDescent="0.25">
      <c r="E181" s="130"/>
    </row>
    <row r="182" spans="5:5" x14ac:dyDescent="0.25">
      <c r="E182" s="130"/>
    </row>
    <row r="183" spans="5:5" x14ac:dyDescent="0.25">
      <c r="E183" s="130"/>
    </row>
    <row r="184" spans="5:5" x14ac:dyDescent="0.25">
      <c r="E184" s="130"/>
    </row>
    <row r="185" spans="5:5" x14ac:dyDescent="0.25">
      <c r="E185" s="130"/>
    </row>
    <row r="186" spans="5:5" x14ac:dyDescent="0.25">
      <c r="E186" s="130"/>
    </row>
    <row r="187" spans="5:5" x14ac:dyDescent="0.25">
      <c r="E187" s="130"/>
    </row>
    <row r="188" spans="5:5" x14ac:dyDescent="0.25">
      <c r="E188" s="130"/>
    </row>
    <row r="189" spans="5:5" x14ac:dyDescent="0.25">
      <c r="E189" s="130"/>
    </row>
    <row r="190" spans="5:5" x14ac:dyDescent="0.25">
      <c r="E190" s="130"/>
    </row>
    <row r="191" spans="5:5" x14ac:dyDescent="0.25">
      <c r="E191" s="130"/>
    </row>
    <row r="192" spans="5:5" x14ac:dyDescent="0.25">
      <c r="E192" s="130"/>
    </row>
    <row r="193" spans="5:5" x14ac:dyDescent="0.25">
      <c r="E193" s="130"/>
    </row>
    <row r="194" spans="5:5" x14ac:dyDescent="0.25">
      <c r="E194" s="130"/>
    </row>
    <row r="195" spans="5:5" x14ac:dyDescent="0.25">
      <c r="E195" s="130"/>
    </row>
    <row r="196" spans="5:5" x14ac:dyDescent="0.25">
      <c r="E196" s="130"/>
    </row>
    <row r="197" spans="5:5" x14ac:dyDescent="0.25">
      <c r="E197" s="130"/>
    </row>
    <row r="198" spans="5:5" x14ac:dyDescent="0.25">
      <c r="E198" s="130"/>
    </row>
    <row r="199" spans="5:5" x14ac:dyDescent="0.25">
      <c r="E199" s="130"/>
    </row>
    <row r="200" spans="5:5" x14ac:dyDescent="0.25">
      <c r="E200" s="130"/>
    </row>
    <row r="201" spans="5:5" x14ac:dyDescent="0.25">
      <c r="E201" s="130"/>
    </row>
    <row r="202" spans="5:5" x14ac:dyDescent="0.25">
      <c r="E202" s="130"/>
    </row>
    <row r="203" spans="5:5" x14ac:dyDescent="0.25">
      <c r="E203" s="130"/>
    </row>
    <row r="204" spans="5:5" x14ac:dyDescent="0.25">
      <c r="E204" s="130"/>
    </row>
    <row r="205" spans="5:5" x14ac:dyDescent="0.25">
      <c r="E205" s="130"/>
    </row>
    <row r="206" spans="5:5" x14ac:dyDescent="0.25">
      <c r="E206" s="130"/>
    </row>
    <row r="207" spans="5:5" x14ac:dyDescent="0.25">
      <c r="E207" s="130"/>
    </row>
    <row r="208" spans="5:5" x14ac:dyDescent="0.25">
      <c r="E208" s="130"/>
    </row>
    <row r="209" spans="5:5" x14ac:dyDescent="0.25">
      <c r="E209" s="130"/>
    </row>
    <row r="210" spans="5:5" x14ac:dyDescent="0.25">
      <c r="E210" s="130"/>
    </row>
    <row r="211" spans="5:5" x14ac:dyDescent="0.25">
      <c r="E211" s="130"/>
    </row>
    <row r="212" spans="5:5" x14ac:dyDescent="0.25">
      <c r="E212" s="130"/>
    </row>
    <row r="213" spans="5:5" x14ac:dyDescent="0.25">
      <c r="E213" s="130"/>
    </row>
    <row r="214" spans="5:5" x14ac:dyDescent="0.25">
      <c r="E214" s="130"/>
    </row>
    <row r="215" spans="5:5" x14ac:dyDescent="0.25">
      <c r="E215" s="130"/>
    </row>
    <row r="216" spans="5:5" x14ac:dyDescent="0.25">
      <c r="E216" s="130"/>
    </row>
    <row r="217" spans="5:5" x14ac:dyDescent="0.25">
      <c r="E217" s="130"/>
    </row>
    <row r="218" spans="5:5" x14ac:dyDescent="0.25">
      <c r="E218" s="130"/>
    </row>
    <row r="219" spans="5:5" x14ac:dyDescent="0.25">
      <c r="E219" s="130"/>
    </row>
    <row r="220" spans="5:5" x14ac:dyDescent="0.25">
      <c r="E220" s="130"/>
    </row>
    <row r="221" spans="5:5" x14ac:dyDescent="0.25">
      <c r="E221" s="130"/>
    </row>
    <row r="222" spans="5:5" x14ac:dyDescent="0.25">
      <c r="E222" s="130"/>
    </row>
    <row r="223" spans="5:5" x14ac:dyDescent="0.25">
      <c r="E223" s="130"/>
    </row>
    <row r="224" spans="5:5" x14ac:dyDescent="0.25">
      <c r="E224" s="130"/>
    </row>
    <row r="225" spans="5:5" x14ac:dyDescent="0.25">
      <c r="E225" s="130"/>
    </row>
    <row r="226" spans="5:5" x14ac:dyDescent="0.25">
      <c r="E226" s="130"/>
    </row>
    <row r="227" spans="5:5" x14ac:dyDescent="0.25">
      <c r="E227" s="130"/>
    </row>
    <row r="228" spans="5:5" x14ac:dyDescent="0.25">
      <c r="E228" s="130"/>
    </row>
    <row r="229" spans="5:5" x14ac:dyDescent="0.25">
      <c r="E229" s="130"/>
    </row>
    <row r="230" spans="5:5" x14ac:dyDescent="0.25">
      <c r="E230" s="130"/>
    </row>
    <row r="231" spans="5:5" x14ac:dyDescent="0.25">
      <c r="E231" s="130"/>
    </row>
    <row r="232" spans="5:5" x14ac:dyDescent="0.25">
      <c r="E232" s="130"/>
    </row>
    <row r="233" spans="5:5" x14ac:dyDescent="0.25">
      <c r="E233" s="130"/>
    </row>
    <row r="234" spans="5:5" x14ac:dyDescent="0.25">
      <c r="E234" s="130"/>
    </row>
    <row r="235" spans="5:5" x14ac:dyDescent="0.25">
      <c r="E235" s="130"/>
    </row>
    <row r="236" spans="5:5" x14ac:dyDescent="0.25">
      <c r="E236" s="130"/>
    </row>
    <row r="237" spans="5:5" x14ac:dyDescent="0.25">
      <c r="E237" s="130"/>
    </row>
    <row r="238" spans="5:5" x14ac:dyDescent="0.25">
      <c r="E238" s="130"/>
    </row>
    <row r="239" spans="5:5" x14ac:dyDescent="0.25">
      <c r="E239" s="130"/>
    </row>
    <row r="240" spans="5:5" x14ac:dyDescent="0.25">
      <c r="E240" s="130"/>
    </row>
    <row r="241" spans="5:5" x14ac:dyDescent="0.25">
      <c r="E241" s="130"/>
    </row>
    <row r="242" spans="5:5" x14ac:dyDescent="0.25">
      <c r="E242" s="130"/>
    </row>
    <row r="243" spans="5:5" x14ac:dyDescent="0.25">
      <c r="E243" s="130"/>
    </row>
    <row r="244" spans="5:5" x14ac:dyDescent="0.25">
      <c r="E244" s="130"/>
    </row>
    <row r="245" spans="5:5" x14ac:dyDescent="0.25">
      <c r="E245" s="130"/>
    </row>
    <row r="246" spans="5:5" x14ac:dyDescent="0.25">
      <c r="E246" s="130"/>
    </row>
    <row r="247" spans="5:5" x14ac:dyDescent="0.25">
      <c r="E247" s="130"/>
    </row>
    <row r="248" spans="5:5" x14ac:dyDescent="0.25">
      <c r="E248" s="130"/>
    </row>
    <row r="249" spans="5:5" x14ac:dyDescent="0.25">
      <c r="E249" s="130"/>
    </row>
    <row r="250" spans="5:5" x14ac:dyDescent="0.25">
      <c r="E250" s="130"/>
    </row>
    <row r="251" spans="5:5" x14ac:dyDescent="0.25">
      <c r="E251" s="130"/>
    </row>
    <row r="252" spans="5:5" x14ac:dyDescent="0.25">
      <c r="E252" s="130"/>
    </row>
    <row r="253" spans="5:5" x14ac:dyDescent="0.25">
      <c r="E253" s="130"/>
    </row>
    <row r="254" spans="5:5" x14ac:dyDescent="0.25">
      <c r="E254" s="130"/>
    </row>
    <row r="255" spans="5:5" x14ac:dyDescent="0.25">
      <c r="E255" s="130"/>
    </row>
    <row r="256" spans="5:5" x14ac:dyDescent="0.25">
      <c r="E256" s="130"/>
    </row>
    <row r="257" spans="5:5" x14ac:dyDescent="0.25">
      <c r="E257" s="130"/>
    </row>
    <row r="258" spans="5:5" x14ac:dyDescent="0.25">
      <c r="E258" s="130"/>
    </row>
    <row r="259" spans="5:5" x14ac:dyDescent="0.25">
      <c r="E259" s="130"/>
    </row>
    <row r="260" spans="5:5" x14ac:dyDescent="0.25">
      <c r="E260" s="130"/>
    </row>
    <row r="261" spans="5:5" x14ac:dyDescent="0.25">
      <c r="E261" s="130"/>
    </row>
    <row r="262" spans="5:5" x14ac:dyDescent="0.25">
      <c r="E262" s="130"/>
    </row>
    <row r="263" spans="5:5" x14ac:dyDescent="0.25">
      <c r="E263" s="130"/>
    </row>
    <row r="264" spans="5:5" x14ac:dyDescent="0.25">
      <c r="E264" s="130"/>
    </row>
    <row r="265" spans="5:5" x14ac:dyDescent="0.25">
      <c r="E265" s="130"/>
    </row>
    <row r="266" spans="5:5" x14ac:dyDescent="0.25">
      <c r="E266" s="130"/>
    </row>
    <row r="267" spans="5:5" x14ac:dyDescent="0.25">
      <c r="E267" s="130"/>
    </row>
    <row r="268" spans="5:5" x14ac:dyDescent="0.25">
      <c r="E268" s="130"/>
    </row>
    <row r="269" spans="5:5" x14ac:dyDescent="0.25">
      <c r="E269" s="130"/>
    </row>
    <row r="270" spans="5:5" x14ac:dyDescent="0.25">
      <c r="E270" s="130"/>
    </row>
    <row r="271" spans="5:5" x14ac:dyDescent="0.25">
      <c r="E271" s="130"/>
    </row>
    <row r="272" spans="5:5" x14ac:dyDescent="0.25">
      <c r="E272" s="130"/>
    </row>
    <row r="273" spans="5:5" x14ac:dyDescent="0.25">
      <c r="E273" s="130"/>
    </row>
    <row r="274" spans="5:5" x14ac:dyDescent="0.25">
      <c r="E274" s="130"/>
    </row>
    <row r="275" spans="5:5" x14ac:dyDescent="0.25">
      <c r="E275" s="130"/>
    </row>
    <row r="276" spans="5:5" x14ac:dyDescent="0.25">
      <c r="E276" s="130"/>
    </row>
    <row r="277" spans="5:5" x14ac:dyDescent="0.25">
      <c r="E277" s="130"/>
    </row>
    <row r="278" spans="5:5" x14ac:dyDescent="0.25">
      <c r="E278" s="130"/>
    </row>
    <row r="279" spans="5:5" x14ac:dyDescent="0.25">
      <c r="E279" s="130"/>
    </row>
    <row r="280" spans="5:5" x14ac:dyDescent="0.25">
      <c r="E280" s="130"/>
    </row>
    <row r="281" spans="5:5" x14ac:dyDescent="0.25">
      <c r="E281" s="130"/>
    </row>
    <row r="282" spans="5:5" x14ac:dyDescent="0.25">
      <c r="E282" s="130"/>
    </row>
    <row r="283" spans="5:5" x14ac:dyDescent="0.25">
      <c r="E283" s="130"/>
    </row>
    <row r="284" spans="5:5" x14ac:dyDescent="0.25">
      <c r="E284" s="130"/>
    </row>
    <row r="285" spans="5:5" x14ac:dyDescent="0.25">
      <c r="E285" s="130"/>
    </row>
    <row r="286" spans="5:5" x14ac:dyDescent="0.25">
      <c r="E286" s="130"/>
    </row>
    <row r="287" spans="5:5" x14ac:dyDescent="0.25">
      <c r="E287" s="130"/>
    </row>
    <row r="288" spans="5:5" x14ac:dyDescent="0.25">
      <c r="E288" s="130"/>
    </row>
    <row r="289" spans="5:5" x14ac:dyDescent="0.25">
      <c r="E289" s="130"/>
    </row>
    <row r="290" spans="5:5" x14ac:dyDescent="0.25">
      <c r="E290" s="130"/>
    </row>
    <row r="291" spans="5:5" x14ac:dyDescent="0.25">
      <c r="E291" s="130"/>
    </row>
    <row r="292" spans="5:5" x14ac:dyDescent="0.25">
      <c r="E292" s="130"/>
    </row>
    <row r="293" spans="5:5" x14ac:dyDescent="0.25">
      <c r="E293" s="130"/>
    </row>
    <row r="294" spans="5:5" x14ac:dyDescent="0.25">
      <c r="E294" s="130"/>
    </row>
    <row r="295" spans="5:5" x14ac:dyDescent="0.25">
      <c r="E295" s="130"/>
    </row>
    <row r="296" spans="5:5" x14ac:dyDescent="0.25">
      <c r="E296" s="130"/>
    </row>
    <row r="297" spans="5:5" x14ac:dyDescent="0.25">
      <c r="E297" s="130"/>
    </row>
    <row r="298" spans="5:5" x14ac:dyDescent="0.25">
      <c r="E298" s="130"/>
    </row>
    <row r="299" spans="5:5" x14ac:dyDescent="0.25">
      <c r="E299" s="130"/>
    </row>
    <row r="300" spans="5:5" x14ac:dyDescent="0.25">
      <c r="E300" s="130"/>
    </row>
    <row r="301" spans="5:5" x14ac:dyDescent="0.25">
      <c r="E301" s="130"/>
    </row>
    <row r="302" spans="5:5" x14ac:dyDescent="0.25">
      <c r="E302" s="130"/>
    </row>
    <row r="303" spans="5:5" x14ac:dyDescent="0.25">
      <c r="E303" s="130"/>
    </row>
    <row r="304" spans="5:5" x14ac:dyDescent="0.25">
      <c r="E304" s="130"/>
    </row>
    <row r="305" spans="5:5" x14ac:dyDescent="0.25">
      <c r="E305" s="130"/>
    </row>
    <row r="306" spans="5:5" x14ac:dyDescent="0.25">
      <c r="E306" s="130"/>
    </row>
    <row r="307" spans="5:5" x14ac:dyDescent="0.25">
      <c r="E307" s="130"/>
    </row>
    <row r="308" spans="5:5" x14ac:dyDescent="0.25">
      <c r="E308" s="130"/>
    </row>
    <row r="309" spans="5:5" x14ac:dyDescent="0.25">
      <c r="E309" s="130"/>
    </row>
    <row r="310" spans="5:5" x14ac:dyDescent="0.25">
      <c r="E310" s="130"/>
    </row>
    <row r="311" spans="5:5" x14ac:dyDescent="0.25">
      <c r="E311" s="130"/>
    </row>
    <row r="312" spans="5:5" x14ac:dyDescent="0.25">
      <c r="E312" s="130"/>
    </row>
    <row r="313" spans="5:5" x14ac:dyDescent="0.25">
      <c r="E313" s="130"/>
    </row>
    <row r="314" spans="5:5" x14ac:dyDescent="0.25">
      <c r="E314" s="130"/>
    </row>
    <row r="315" spans="5:5" x14ac:dyDescent="0.25">
      <c r="E315" s="130"/>
    </row>
    <row r="316" spans="5:5" x14ac:dyDescent="0.25">
      <c r="E316" s="130"/>
    </row>
    <row r="317" spans="5:5" x14ac:dyDescent="0.25">
      <c r="E317" s="130"/>
    </row>
    <row r="318" spans="5:5" x14ac:dyDescent="0.25">
      <c r="E318" s="130"/>
    </row>
    <row r="319" spans="5:5" x14ac:dyDescent="0.25">
      <c r="E319" s="130"/>
    </row>
    <row r="320" spans="5:5" x14ac:dyDescent="0.25">
      <c r="E320" s="130"/>
    </row>
    <row r="321" spans="5:5" x14ac:dyDescent="0.25">
      <c r="E321" s="130"/>
    </row>
    <row r="322" spans="5:5" x14ac:dyDescent="0.25">
      <c r="E322" s="130"/>
    </row>
    <row r="323" spans="5:5" x14ac:dyDescent="0.25">
      <c r="E323" s="130"/>
    </row>
    <row r="324" spans="5:5" x14ac:dyDescent="0.25">
      <c r="E324" s="130"/>
    </row>
    <row r="325" spans="5:5" x14ac:dyDescent="0.25">
      <c r="E325" s="130"/>
    </row>
    <row r="326" spans="5:5" x14ac:dyDescent="0.25">
      <c r="E326" s="130"/>
    </row>
    <row r="327" spans="5:5" x14ac:dyDescent="0.25">
      <c r="E327" s="130"/>
    </row>
    <row r="328" spans="5:5" x14ac:dyDescent="0.25">
      <c r="E328" s="130"/>
    </row>
    <row r="329" spans="5:5" x14ac:dyDescent="0.25">
      <c r="E329" s="130"/>
    </row>
    <row r="330" spans="5:5" x14ac:dyDescent="0.25">
      <c r="E330" s="130"/>
    </row>
    <row r="331" spans="5:5" x14ac:dyDescent="0.25">
      <c r="E331" s="130"/>
    </row>
    <row r="332" spans="5:5" x14ac:dyDescent="0.25">
      <c r="E332" s="130"/>
    </row>
    <row r="333" spans="5:5" x14ac:dyDescent="0.25">
      <c r="E333" s="130"/>
    </row>
    <row r="334" spans="5:5" x14ac:dyDescent="0.25">
      <c r="E334" s="130"/>
    </row>
    <row r="335" spans="5:5" x14ac:dyDescent="0.25">
      <c r="E335" s="130"/>
    </row>
    <row r="336" spans="5:5" x14ac:dyDescent="0.25">
      <c r="E336" s="130"/>
    </row>
    <row r="337" spans="5:5" x14ac:dyDescent="0.25">
      <c r="E337" s="130"/>
    </row>
    <row r="338" spans="5:5" x14ac:dyDescent="0.25">
      <c r="E338" s="130"/>
    </row>
    <row r="339" spans="5:5" x14ac:dyDescent="0.25">
      <c r="E339" s="130"/>
    </row>
    <row r="340" spans="5:5" x14ac:dyDescent="0.25">
      <c r="E340" s="130"/>
    </row>
    <row r="341" spans="5:5" x14ac:dyDescent="0.25">
      <c r="E341" s="130"/>
    </row>
    <row r="342" spans="5:5" x14ac:dyDescent="0.25">
      <c r="E342" s="130"/>
    </row>
    <row r="343" spans="5:5" x14ac:dyDescent="0.25">
      <c r="E343" s="130"/>
    </row>
    <row r="344" spans="5:5" x14ac:dyDescent="0.25">
      <c r="E344" s="130"/>
    </row>
    <row r="345" spans="5:5" x14ac:dyDescent="0.25">
      <c r="E345" s="130"/>
    </row>
    <row r="346" spans="5:5" x14ac:dyDescent="0.25">
      <c r="E346" s="130"/>
    </row>
    <row r="347" spans="5:5" x14ac:dyDescent="0.25">
      <c r="E347" s="130"/>
    </row>
    <row r="348" spans="5:5" x14ac:dyDescent="0.25">
      <c r="E348" s="130"/>
    </row>
    <row r="349" spans="5:5" x14ac:dyDescent="0.25">
      <c r="E349" s="130"/>
    </row>
    <row r="350" spans="5:5" x14ac:dyDescent="0.25">
      <c r="E350" s="130"/>
    </row>
    <row r="351" spans="5:5" x14ac:dyDescent="0.25">
      <c r="E351" s="130"/>
    </row>
    <row r="352" spans="5:5" x14ac:dyDescent="0.25">
      <c r="E352" s="130"/>
    </row>
    <row r="353" spans="5:5" x14ac:dyDescent="0.25">
      <c r="E353" s="130"/>
    </row>
    <row r="354" spans="5:5" x14ac:dyDescent="0.25">
      <c r="E354" s="130"/>
    </row>
    <row r="355" spans="5:5" x14ac:dyDescent="0.25">
      <c r="E355" s="130"/>
    </row>
    <row r="356" spans="5:5" x14ac:dyDescent="0.25">
      <c r="E356" s="130"/>
    </row>
    <row r="357" spans="5:5" x14ac:dyDescent="0.25">
      <c r="E357" s="130"/>
    </row>
    <row r="358" spans="5:5" x14ac:dyDescent="0.25">
      <c r="E358" s="130"/>
    </row>
    <row r="359" spans="5:5" x14ac:dyDescent="0.25">
      <c r="E359" s="130"/>
    </row>
    <row r="360" spans="5:5" x14ac:dyDescent="0.25">
      <c r="E360" s="130"/>
    </row>
    <row r="361" spans="5:5" x14ac:dyDescent="0.25">
      <c r="E361" s="130"/>
    </row>
    <row r="362" spans="5:5" x14ac:dyDescent="0.25">
      <c r="E362" s="130"/>
    </row>
    <row r="363" spans="5:5" x14ac:dyDescent="0.25">
      <c r="E363" s="130"/>
    </row>
    <row r="364" spans="5:5" x14ac:dyDescent="0.25">
      <c r="E364" s="130"/>
    </row>
    <row r="365" spans="5:5" x14ac:dyDescent="0.25">
      <c r="E365" s="130"/>
    </row>
    <row r="366" spans="5:5" x14ac:dyDescent="0.25">
      <c r="E366" s="130"/>
    </row>
    <row r="367" spans="5:5" x14ac:dyDescent="0.25">
      <c r="E367" s="130"/>
    </row>
    <row r="368" spans="5:5" x14ac:dyDescent="0.25">
      <c r="E368" s="130"/>
    </row>
    <row r="369" spans="5:5" x14ac:dyDescent="0.25">
      <c r="E369" s="130"/>
    </row>
    <row r="370" spans="5:5" x14ac:dyDescent="0.25">
      <c r="E370" s="130"/>
    </row>
    <row r="371" spans="5:5" x14ac:dyDescent="0.25">
      <c r="E371" s="130"/>
    </row>
    <row r="372" spans="5:5" x14ac:dyDescent="0.25">
      <c r="E372" s="130"/>
    </row>
    <row r="373" spans="5:5" x14ac:dyDescent="0.25">
      <c r="E373" s="130"/>
    </row>
    <row r="374" spans="5:5" x14ac:dyDescent="0.25">
      <c r="E374" s="130"/>
    </row>
    <row r="375" spans="5:5" x14ac:dyDescent="0.25">
      <c r="E375" s="130"/>
    </row>
    <row r="376" spans="5:5" x14ac:dyDescent="0.25">
      <c r="E376" s="130"/>
    </row>
    <row r="377" spans="5:5" x14ac:dyDescent="0.25">
      <c r="E377" s="130"/>
    </row>
    <row r="378" spans="5:5" x14ac:dyDescent="0.25">
      <c r="E378" s="130"/>
    </row>
    <row r="379" spans="5:5" x14ac:dyDescent="0.25">
      <c r="E379" s="130"/>
    </row>
    <row r="380" spans="5:5" x14ac:dyDescent="0.25">
      <c r="E380" s="130"/>
    </row>
    <row r="381" spans="5:5" x14ac:dyDescent="0.25">
      <c r="E381" s="130"/>
    </row>
    <row r="382" spans="5:5" x14ac:dyDescent="0.25">
      <c r="E382" s="130"/>
    </row>
    <row r="383" spans="5:5" x14ac:dyDescent="0.25">
      <c r="E383" s="130"/>
    </row>
    <row r="384" spans="5:5" x14ac:dyDescent="0.25">
      <c r="E384" s="130"/>
    </row>
    <row r="385" spans="5:5" x14ac:dyDescent="0.25">
      <c r="E385" s="130"/>
    </row>
    <row r="386" spans="5:5" x14ac:dyDescent="0.25">
      <c r="E386" s="130"/>
    </row>
    <row r="387" spans="5:5" x14ac:dyDescent="0.25">
      <c r="E387" s="130"/>
    </row>
    <row r="388" spans="5:5" x14ac:dyDescent="0.25">
      <c r="E388" s="130"/>
    </row>
    <row r="389" spans="5:5" x14ac:dyDescent="0.25">
      <c r="E389" s="130"/>
    </row>
    <row r="390" spans="5:5" x14ac:dyDescent="0.25">
      <c r="E390" s="130"/>
    </row>
    <row r="391" spans="5:5" x14ac:dyDescent="0.25">
      <c r="E391" s="130"/>
    </row>
    <row r="392" spans="5:5" x14ac:dyDescent="0.25">
      <c r="E392" s="130"/>
    </row>
    <row r="393" spans="5:5" x14ac:dyDescent="0.25">
      <c r="E393" s="130"/>
    </row>
    <row r="394" spans="5:5" x14ac:dyDescent="0.25">
      <c r="E394" s="130"/>
    </row>
    <row r="395" spans="5:5" x14ac:dyDescent="0.25">
      <c r="E395" s="130"/>
    </row>
    <row r="396" spans="5:5" x14ac:dyDescent="0.25">
      <c r="E396" s="130"/>
    </row>
    <row r="397" spans="5:5" x14ac:dyDescent="0.25">
      <c r="E397" s="130"/>
    </row>
    <row r="398" spans="5:5" x14ac:dyDescent="0.25">
      <c r="E398" s="130"/>
    </row>
    <row r="399" spans="5:5" x14ac:dyDescent="0.25">
      <c r="E399" s="130"/>
    </row>
    <row r="400" spans="5:5" x14ac:dyDescent="0.25">
      <c r="E400" s="130"/>
    </row>
    <row r="401" spans="5:5" x14ac:dyDescent="0.25">
      <c r="E401" s="130"/>
    </row>
    <row r="402" spans="5:5" x14ac:dyDescent="0.25">
      <c r="E402" s="130"/>
    </row>
    <row r="403" spans="5:5" x14ac:dyDescent="0.25">
      <c r="E403" s="130"/>
    </row>
    <row r="404" spans="5:5" x14ac:dyDescent="0.25">
      <c r="E404" s="130"/>
    </row>
    <row r="405" spans="5:5" x14ac:dyDescent="0.25">
      <c r="E405" s="130"/>
    </row>
    <row r="406" spans="5:5" x14ac:dyDescent="0.25">
      <c r="E406" s="130"/>
    </row>
    <row r="407" spans="5:5" x14ac:dyDescent="0.25">
      <c r="E407" s="130"/>
    </row>
    <row r="408" spans="5:5" x14ac:dyDescent="0.25">
      <c r="E408" s="130"/>
    </row>
    <row r="409" spans="5:5" x14ac:dyDescent="0.25">
      <c r="E409" s="130"/>
    </row>
    <row r="410" spans="5:5" x14ac:dyDescent="0.25">
      <c r="E410" s="130"/>
    </row>
    <row r="411" spans="5:5" x14ac:dyDescent="0.25">
      <c r="E411" s="130"/>
    </row>
    <row r="412" spans="5:5" x14ac:dyDescent="0.25">
      <c r="E412" s="130"/>
    </row>
    <row r="413" spans="5:5" x14ac:dyDescent="0.25">
      <c r="E413" s="130"/>
    </row>
    <row r="414" spans="5:5" x14ac:dyDescent="0.25">
      <c r="E414" s="130"/>
    </row>
    <row r="415" spans="5:5" x14ac:dyDescent="0.25">
      <c r="E415" s="130"/>
    </row>
    <row r="416" spans="5:5" x14ac:dyDescent="0.25">
      <c r="E416" s="130"/>
    </row>
    <row r="417" spans="5:5" x14ac:dyDescent="0.25">
      <c r="E417" s="130"/>
    </row>
    <row r="418" spans="5:5" x14ac:dyDescent="0.25">
      <c r="E418" s="130"/>
    </row>
    <row r="419" spans="5:5" x14ac:dyDescent="0.25">
      <c r="E419" s="130"/>
    </row>
    <row r="420" spans="5:5" x14ac:dyDescent="0.25">
      <c r="E420" s="130"/>
    </row>
    <row r="421" spans="5:5" x14ac:dyDescent="0.25">
      <c r="E421" s="130"/>
    </row>
    <row r="422" spans="5:5" x14ac:dyDescent="0.25">
      <c r="E422" s="130"/>
    </row>
    <row r="423" spans="5:5" x14ac:dyDescent="0.25">
      <c r="E423" s="130"/>
    </row>
    <row r="424" spans="5:5" x14ac:dyDescent="0.25">
      <c r="E424" s="130"/>
    </row>
    <row r="425" spans="5:5" x14ac:dyDescent="0.25">
      <c r="E425" s="130"/>
    </row>
    <row r="426" spans="5:5" x14ac:dyDescent="0.25">
      <c r="E426" s="130"/>
    </row>
    <row r="427" spans="5:5" x14ac:dyDescent="0.25">
      <c r="E427" s="130"/>
    </row>
    <row r="428" spans="5:5" x14ac:dyDescent="0.25">
      <c r="E428" s="130"/>
    </row>
    <row r="429" spans="5:5" x14ac:dyDescent="0.25">
      <c r="E429" s="130"/>
    </row>
    <row r="430" spans="5:5" x14ac:dyDescent="0.25">
      <c r="E430" s="130"/>
    </row>
    <row r="431" spans="5:5" x14ac:dyDescent="0.25">
      <c r="E431" s="130"/>
    </row>
    <row r="432" spans="5:5" x14ac:dyDescent="0.25">
      <c r="E432" s="130"/>
    </row>
    <row r="433" spans="5:5" x14ac:dyDescent="0.25">
      <c r="E433" s="130"/>
    </row>
    <row r="434" spans="5:5" x14ac:dyDescent="0.25">
      <c r="E434" s="130"/>
    </row>
    <row r="435" spans="5:5" x14ac:dyDescent="0.25">
      <c r="E435" s="130"/>
    </row>
    <row r="436" spans="5:5" x14ac:dyDescent="0.25">
      <c r="E436" s="130"/>
    </row>
    <row r="437" spans="5:5" x14ac:dyDescent="0.25">
      <c r="E437" s="130"/>
    </row>
    <row r="438" spans="5:5" x14ac:dyDescent="0.25">
      <c r="E438" s="130"/>
    </row>
    <row r="439" spans="5:5" x14ac:dyDescent="0.25">
      <c r="E439" s="130"/>
    </row>
    <row r="440" spans="5:5" x14ac:dyDescent="0.25">
      <c r="E440" s="130"/>
    </row>
    <row r="441" spans="5:5" x14ac:dyDescent="0.25">
      <c r="E441" s="130"/>
    </row>
    <row r="442" spans="5:5" x14ac:dyDescent="0.25">
      <c r="E442" s="130"/>
    </row>
    <row r="443" spans="5:5" x14ac:dyDescent="0.25">
      <c r="E443" s="130"/>
    </row>
    <row r="444" spans="5:5" x14ac:dyDescent="0.25">
      <c r="E444" s="130"/>
    </row>
    <row r="445" spans="5:5" x14ac:dyDescent="0.25">
      <c r="E445" s="130"/>
    </row>
    <row r="446" spans="5:5" x14ac:dyDescent="0.25">
      <c r="E446" s="130"/>
    </row>
    <row r="447" spans="5:5" x14ac:dyDescent="0.25">
      <c r="E447" s="130"/>
    </row>
    <row r="448" spans="5:5" x14ac:dyDescent="0.25">
      <c r="E448" s="130"/>
    </row>
    <row r="449" spans="5:5" x14ac:dyDescent="0.25">
      <c r="E449" s="130"/>
    </row>
    <row r="450" spans="5:5" x14ac:dyDescent="0.25">
      <c r="E450" s="130"/>
    </row>
    <row r="451" spans="5:5" x14ac:dyDescent="0.25">
      <c r="E451" s="130"/>
    </row>
    <row r="452" spans="5:5" x14ac:dyDescent="0.25">
      <c r="E452" s="130"/>
    </row>
    <row r="453" spans="5:5" x14ac:dyDescent="0.25">
      <c r="E453" s="130"/>
    </row>
    <row r="454" spans="5:5" x14ac:dyDescent="0.25">
      <c r="E454" s="130"/>
    </row>
    <row r="455" spans="5:5" x14ac:dyDescent="0.25">
      <c r="E455" s="130"/>
    </row>
    <row r="456" spans="5:5" x14ac:dyDescent="0.25">
      <c r="E456" s="130"/>
    </row>
    <row r="457" spans="5:5" x14ac:dyDescent="0.25">
      <c r="E457" s="130"/>
    </row>
    <row r="458" spans="5:5" x14ac:dyDescent="0.25">
      <c r="E458" s="130"/>
    </row>
    <row r="459" spans="5:5" x14ac:dyDescent="0.25">
      <c r="E459" s="130"/>
    </row>
    <row r="460" spans="5:5" x14ac:dyDescent="0.25">
      <c r="E460" s="130"/>
    </row>
    <row r="461" spans="5:5" x14ac:dyDescent="0.25">
      <c r="E461" s="130"/>
    </row>
    <row r="462" spans="5:5" x14ac:dyDescent="0.25">
      <c r="E462" s="130"/>
    </row>
    <row r="463" spans="5:5" x14ac:dyDescent="0.25">
      <c r="E463" s="130"/>
    </row>
    <row r="464" spans="5:5" x14ac:dyDescent="0.25">
      <c r="E464" s="130"/>
    </row>
    <row r="465" spans="5:5" x14ac:dyDescent="0.25">
      <c r="E465" s="130"/>
    </row>
    <row r="466" spans="5:5" x14ac:dyDescent="0.25">
      <c r="E466" s="130"/>
    </row>
    <row r="467" spans="5:5" x14ac:dyDescent="0.25">
      <c r="E467" s="130"/>
    </row>
    <row r="468" spans="5:5" x14ac:dyDescent="0.25">
      <c r="E468" s="130"/>
    </row>
    <row r="469" spans="5:5" x14ac:dyDescent="0.25">
      <c r="E469" s="130"/>
    </row>
    <row r="470" spans="5:5" x14ac:dyDescent="0.25">
      <c r="E470" s="130"/>
    </row>
    <row r="471" spans="5:5" x14ac:dyDescent="0.25">
      <c r="E471" s="130"/>
    </row>
    <row r="472" spans="5:5" x14ac:dyDescent="0.25">
      <c r="E472" s="130"/>
    </row>
    <row r="473" spans="5:5" x14ac:dyDescent="0.25">
      <c r="E473" s="130"/>
    </row>
    <row r="474" spans="5:5" x14ac:dyDescent="0.25">
      <c r="E474" s="130"/>
    </row>
    <row r="475" spans="5:5" x14ac:dyDescent="0.25">
      <c r="E475" s="130"/>
    </row>
    <row r="476" spans="5:5" x14ac:dyDescent="0.25">
      <c r="E476" s="130"/>
    </row>
    <row r="477" spans="5:5" x14ac:dyDescent="0.25">
      <c r="E477" s="130"/>
    </row>
    <row r="478" spans="5:5" x14ac:dyDescent="0.25">
      <c r="E478" s="130"/>
    </row>
    <row r="479" spans="5:5" x14ac:dyDescent="0.25">
      <c r="E479" s="130"/>
    </row>
    <row r="480" spans="5:5" x14ac:dyDescent="0.25">
      <c r="E480" s="130"/>
    </row>
    <row r="481" spans="5:5" x14ac:dyDescent="0.25">
      <c r="E481" s="130"/>
    </row>
    <row r="482" spans="5:5" x14ac:dyDescent="0.25">
      <c r="E482" s="130"/>
    </row>
    <row r="483" spans="5:5" x14ac:dyDescent="0.25">
      <c r="E483" s="130"/>
    </row>
    <row r="484" spans="5:5" x14ac:dyDescent="0.25">
      <c r="E484" s="130"/>
    </row>
    <row r="485" spans="5:5" x14ac:dyDescent="0.25">
      <c r="E485" s="130"/>
    </row>
    <row r="486" spans="5:5" x14ac:dyDescent="0.25">
      <c r="E486" s="130"/>
    </row>
    <row r="487" spans="5:5" x14ac:dyDescent="0.25">
      <c r="E487" s="130"/>
    </row>
    <row r="488" spans="5:5" x14ac:dyDescent="0.25">
      <c r="E488" s="130"/>
    </row>
    <row r="489" spans="5:5" x14ac:dyDescent="0.25">
      <c r="E489" s="130"/>
    </row>
    <row r="490" spans="5:5" x14ac:dyDescent="0.25">
      <c r="E490" s="130"/>
    </row>
    <row r="491" spans="5:5" x14ac:dyDescent="0.25">
      <c r="E491" s="130"/>
    </row>
    <row r="492" spans="5:5" x14ac:dyDescent="0.25">
      <c r="E492" s="130"/>
    </row>
    <row r="493" spans="5:5" x14ac:dyDescent="0.25">
      <c r="E493" s="130"/>
    </row>
    <row r="494" spans="5:5" x14ac:dyDescent="0.25">
      <c r="E494" s="130"/>
    </row>
    <row r="495" spans="5:5" x14ac:dyDescent="0.25">
      <c r="E495" s="130"/>
    </row>
    <row r="496" spans="5:5" x14ac:dyDescent="0.25">
      <c r="E496" s="130"/>
    </row>
    <row r="497" spans="5:5" x14ac:dyDescent="0.25">
      <c r="E497" s="130"/>
    </row>
    <row r="498" spans="5:5" x14ac:dyDescent="0.25">
      <c r="E498" s="130"/>
    </row>
    <row r="499" spans="5:5" x14ac:dyDescent="0.25">
      <c r="E499" s="130"/>
    </row>
    <row r="500" spans="5:5" x14ac:dyDescent="0.25">
      <c r="E500" s="130"/>
    </row>
    <row r="501" spans="5:5" x14ac:dyDescent="0.25">
      <c r="E501" s="130"/>
    </row>
    <row r="502" spans="5:5" x14ac:dyDescent="0.25">
      <c r="E502" s="130"/>
    </row>
    <row r="503" spans="5:5" x14ac:dyDescent="0.25">
      <c r="E503" s="130"/>
    </row>
    <row r="504" spans="5:5" x14ac:dyDescent="0.25">
      <c r="E504" s="130"/>
    </row>
    <row r="505" spans="5:5" x14ac:dyDescent="0.25">
      <c r="E505" s="130"/>
    </row>
    <row r="506" spans="5:5" x14ac:dyDescent="0.25">
      <c r="E506" s="130"/>
    </row>
    <row r="507" spans="5:5" x14ac:dyDescent="0.25">
      <c r="E507" s="130"/>
    </row>
    <row r="508" spans="5:5" x14ac:dyDescent="0.25">
      <c r="E508" s="130"/>
    </row>
    <row r="509" spans="5:5" x14ac:dyDescent="0.25">
      <c r="E509" s="130"/>
    </row>
    <row r="510" spans="5:5" x14ac:dyDescent="0.25">
      <c r="E510" s="130"/>
    </row>
    <row r="511" spans="5:5" x14ac:dyDescent="0.25">
      <c r="E511" s="130"/>
    </row>
    <row r="512" spans="5:5" x14ac:dyDescent="0.25">
      <c r="E512" s="130"/>
    </row>
    <row r="513" spans="5:5" x14ac:dyDescent="0.25">
      <c r="E513" s="130"/>
    </row>
    <row r="514" spans="5:5" x14ac:dyDescent="0.25">
      <c r="E514" s="130"/>
    </row>
    <row r="515" spans="5:5" x14ac:dyDescent="0.25">
      <c r="E515" s="130"/>
    </row>
    <row r="516" spans="5:5" x14ac:dyDescent="0.25">
      <c r="E516" s="130"/>
    </row>
    <row r="517" spans="5:5" x14ac:dyDescent="0.25">
      <c r="E517" s="130"/>
    </row>
    <row r="518" spans="5:5" x14ac:dyDescent="0.25">
      <c r="E518" s="130"/>
    </row>
    <row r="519" spans="5:5" x14ac:dyDescent="0.25">
      <c r="E519" s="130"/>
    </row>
    <row r="520" spans="5:5" x14ac:dyDescent="0.25">
      <c r="E520" s="130"/>
    </row>
    <row r="521" spans="5:5" x14ac:dyDescent="0.25">
      <c r="E521" s="130"/>
    </row>
    <row r="522" spans="5:5" x14ac:dyDescent="0.25">
      <c r="E522" s="130"/>
    </row>
    <row r="523" spans="5:5" x14ac:dyDescent="0.25">
      <c r="E523" s="130"/>
    </row>
    <row r="524" spans="5:5" x14ac:dyDescent="0.25">
      <c r="E524" s="130"/>
    </row>
    <row r="525" spans="5:5" x14ac:dyDescent="0.25">
      <c r="E525" s="130"/>
    </row>
    <row r="526" spans="5:5" x14ac:dyDescent="0.25">
      <c r="E526" s="130"/>
    </row>
    <row r="527" spans="5:5" x14ac:dyDescent="0.25">
      <c r="E527" s="130"/>
    </row>
    <row r="528" spans="5:5" x14ac:dyDescent="0.25">
      <c r="E528" s="130"/>
    </row>
    <row r="529" spans="5:5" x14ac:dyDescent="0.25">
      <c r="E529" s="130"/>
    </row>
    <row r="530" spans="5:5" x14ac:dyDescent="0.25">
      <c r="E530" s="130"/>
    </row>
    <row r="531" spans="5:5" x14ac:dyDescent="0.25">
      <c r="E531" s="130"/>
    </row>
    <row r="532" spans="5:5" x14ac:dyDescent="0.25">
      <c r="E532" s="130"/>
    </row>
    <row r="533" spans="5:5" x14ac:dyDescent="0.25">
      <c r="E533" s="130"/>
    </row>
    <row r="534" spans="5:5" x14ac:dyDescent="0.25">
      <c r="E534" s="130"/>
    </row>
    <row r="535" spans="5:5" x14ac:dyDescent="0.25">
      <c r="E535" s="130"/>
    </row>
    <row r="536" spans="5:5" x14ac:dyDescent="0.25">
      <c r="E536" s="130"/>
    </row>
    <row r="537" spans="5:5" x14ac:dyDescent="0.25">
      <c r="E537" s="130"/>
    </row>
    <row r="538" spans="5:5" x14ac:dyDescent="0.25">
      <c r="E538" s="130"/>
    </row>
    <row r="539" spans="5:5" x14ac:dyDescent="0.25">
      <c r="E539" s="130"/>
    </row>
    <row r="540" spans="5:5" x14ac:dyDescent="0.25">
      <c r="E540" s="130"/>
    </row>
    <row r="541" spans="5:5" x14ac:dyDescent="0.25">
      <c r="E541" s="130"/>
    </row>
    <row r="542" spans="5:5" x14ac:dyDescent="0.25">
      <c r="E542" s="130"/>
    </row>
    <row r="543" spans="5:5" x14ac:dyDescent="0.25">
      <c r="E543" s="130"/>
    </row>
    <row r="544" spans="5:5" x14ac:dyDescent="0.25">
      <c r="E544" s="130"/>
    </row>
    <row r="545" spans="5:5" x14ac:dyDescent="0.25">
      <c r="E545" s="130"/>
    </row>
    <row r="546" spans="5:5" x14ac:dyDescent="0.25">
      <c r="E546" s="130"/>
    </row>
  </sheetData>
  <mergeCells count="1">
    <mergeCell ref="A1:E2"/>
  </mergeCells>
  <phoneticPr fontId="3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E98"/>
  <sheetViews>
    <sheetView zoomScale="85" zoomScaleNormal="85" workbookViewId="0">
      <pane ySplit="3" topLeftCell="A4" activePane="bottomLeft" state="frozen"/>
      <selection pane="bottomLeft" activeCell="J14" sqref="J14"/>
    </sheetView>
  </sheetViews>
  <sheetFormatPr baseColWidth="10" defaultColWidth="9.140625" defaultRowHeight="15.75" x14ac:dyDescent="0.25"/>
  <cols>
    <col min="1" max="1" width="18.7109375" customWidth="1"/>
    <col min="2" max="2" width="21.42578125" customWidth="1"/>
    <col min="3" max="4" width="22.28515625" style="12" customWidth="1"/>
  </cols>
  <sheetData>
    <row r="1" spans="1:5" ht="15.75" customHeight="1" x14ac:dyDescent="0.25">
      <c r="A1" s="188" t="s">
        <v>51</v>
      </c>
      <c r="B1" s="188"/>
      <c r="C1" s="188"/>
      <c r="D1" s="188"/>
      <c r="E1" s="14"/>
    </row>
    <row r="2" spans="1:5" ht="31.5" customHeight="1" thickBot="1" x14ac:dyDescent="0.3">
      <c r="A2" s="189"/>
      <c r="B2" s="189"/>
      <c r="C2" s="189"/>
      <c r="D2" s="189"/>
      <c r="E2" s="14"/>
    </row>
    <row r="3" spans="1:5" ht="36.75" customHeight="1" thickBot="1" x14ac:dyDescent="0.3">
      <c r="A3" s="15" t="s">
        <v>3</v>
      </c>
      <c r="B3" s="16" t="s">
        <v>46</v>
      </c>
      <c r="C3" s="16" t="s">
        <v>52</v>
      </c>
      <c r="D3" s="16" t="s">
        <v>48</v>
      </c>
      <c r="E3" s="14"/>
    </row>
    <row r="4" spans="1:5" x14ac:dyDescent="0.25">
      <c r="A4" s="136">
        <v>46062</v>
      </c>
      <c r="B4" s="12" t="s">
        <v>50</v>
      </c>
      <c r="C4" s="38">
        <v>5.98</v>
      </c>
      <c r="D4" s="38"/>
    </row>
    <row r="5" spans="1:5" x14ac:dyDescent="0.25">
      <c r="A5" s="136">
        <v>46062</v>
      </c>
      <c r="B5" s="13" t="s">
        <v>392</v>
      </c>
      <c r="C5" s="38">
        <v>7.56</v>
      </c>
      <c r="D5" s="38"/>
    </row>
    <row r="6" spans="1:5" x14ac:dyDescent="0.25">
      <c r="A6" s="136">
        <v>46062</v>
      </c>
      <c r="B6" s="12" t="s">
        <v>396</v>
      </c>
      <c r="C6" s="12">
        <v>6.65</v>
      </c>
    </row>
    <row r="7" spans="1:5" x14ac:dyDescent="0.25">
      <c r="A7" s="136">
        <v>46062</v>
      </c>
      <c r="B7" s="12" t="s">
        <v>397</v>
      </c>
      <c r="C7" s="12">
        <v>6.56</v>
      </c>
    </row>
    <row r="8" spans="1:5" x14ac:dyDescent="0.25">
      <c r="A8" s="136">
        <v>46062</v>
      </c>
      <c r="B8" s="12" t="s">
        <v>398</v>
      </c>
      <c r="C8" s="12">
        <v>6.46</v>
      </c>
    </row>
    <row r="9" spans="1:5" x14ac:dyDescent="0.25">
      <c r="A9" s="136">
        <v>46062</v>
      </c>
      <c r="B9" s="12" t="s">
        <v>399</v>
      </c>
      <c r="C9" s="12">
        <v>6.57</v>
      </c>
    </row>
    <row r="10" spans="1:5" x14ac:dyDescent="0.25">
      <c r="A10" s="136">
        <v>46062</v>
      </c>
      <c r="B10" s="12" t="s">
        <v>400</v>
      </c>
      <c r="C10" s="12">
        <v>6.73</v>
      </c>
    </row>
    <row r="11" spans="1:5" x14ac:dyDescent="0.25">
      <c r="A11" s="136">
        <v>46062</v>
      </c>
      <c r="B11" s="12" t="s">
        <v>401</v>
      </c>
      <c r="C11" s="12">
        <v>6.74</v>
      </c>
    </row>
    <row r="12" spans="1:5" x14ac:dyDescent="0.25">
      <c r="A12" s="70"/>
      <c r="B12" s="12"/>
      <c r="C12" s="38"/>
      <c r="D12" s="38"/>
    </row>
    <row r="13" spans="1:5" x14ac:dyDescent="0.25">
      <c r="A13" s="70"/>
      <c r="B13" s="12"/>
      <c r="C13" s="38"/>
      <c r="D13" s="38"/>
    </row>
    <row r="14" spans="1:5" x14ac:dyDescent="0.25">
      <c r="A14" s="70"/>
      <c r="B14" s="12"/>
      <c r="C14" s="38"/>
      <c r="D14" s="38"/>
    </row>
    <row r="15" spans="1:5" x14ac:dyDescent="0.25">
      <c r="A15" s="70"/>
      <c r="B15" s="12"/>
      <c r="C15" s="38"/>
      <c r="D15" s="38"/>
    </row>
    <row r="16" spans="1:5" x14ac:dyDescent="0.25">
      <c r="A16" s="70"/>
      <c r="B16" s="12"/>
      <c r="C16" s="38"/>
      <c r="D16" s="38"/>
    </row>
    <row r="17" spans="1:4" x14ac:dyDescent="0.25">
      <c r="A17" s="70"/>
      <c r="B17" s="12"/>
      <c r="C17" s="38"/>
      <c r="D17" s="38"/>
    </row>
    <row r="18" spans="1:4" x14ac:dyDescent="0.25">
      <c r="A18" s="70"/>
      <c r="B18" s="12"/>
      <c r="C18" s="38"/>
      <c r="D18" s="38"/>
    </row>
    <row r="19" spans="1:4" x14ac:dyDescent="0.25">
      <c r="A19" s="70"/>
      <c r="B19" s="12"/>
      <c r="C19" s="38"/>
      <c r="D19" s="38"/>
    </row>
    <row r="20" spans="1:4" x14ac:dyDescent="0.25">
      <c r="A20" s="70"/>
      <c r="B20" s="12"/>
      <c r="C20" s="38"/>
      <c r="D20" s="38"/>
    </row>
    <row r="21" spans="1:4" x14ac:dyDescent="0.25">
      <c r="A21" s="70"/>
      <c r="B21" s="12"/>
      <c r="C21" s="38"/>
      <c r="D21" s="38"/>
    </row>
    <row r="22" spans="1:4" x14ac:dyDescent="0.25">
      <c r="A22" s="70"/>
      <c r="B22" s="12"/>
      <c r="C22" s="38"/>
      <c r="D22" s="38"/>
    </row>
    <row r="23" spans="1:4" x14ac:dyDescent="0.25">
      <c r="A23" s="70"/>
      <c r="B23" s="12"/>
      <c r="C23" s="38"/>
      <c r="D23" s="38"/>
    </row>
    <row r="24" spans="1:4" x14ac:dyDescent="0.25">
      <c r="A24" s="70"/>
      <c r="B24" s="38"/>
      <c r="C24" s="38"/>
      <c r="D24" s="38"/>
    </row>
    <row r="25" spans="1:4" x14ac:dyDescent="0.25">
      <c r="A25" s="70"/>
      <c r="B25" s="38"/>
      <c r="C25" s="38"/>
      <c r="D25" s="38"/>
    </row>
    <row r="26" spans="1:4" x14ac:dyDescent="0.25">
      <c r="B26" s="12"/>
    </row>
    <row r="27" spans="1:4" x14ac:dyDescent="0.25">
      <c r="B27" s="12"/>
    </row>
    <row r="28" spans="1:4" x14ac:dyDescent="0.25">
      <c r="B28" s="12"/>
    </row>
    <row r="29" spans="1:4" x14ac:dyDescent="0.25">
      <c r="B29" s="12"/>
    </row>
    <row r="30" spans="1:4" x14ac:dyDescent="0.25">
      <c r="B30" s="12"/>
    </row>
    <row r="31" spans="1:4" x14ac:dyDescent="0.25">
      <c r="B31" s="12"/>
    </row>
    <row r="32" spans="1:4" x14ac:dyDescent="0.25">
      <c r="B32" s="12"/>
    </row>
    <row r="33" spans="1:4" x14ac:dyDescent="0.25">
      <c r="B33" s="12"/>
    </row>
    <row r="34" spans="1:4" x14ac:dyDescent="0.25">
      <c r="B34" s="12"/>
    </row>
    <row r="35" spans="1:4" x14ac:dyDescent="0.25">
      <c r="B35" s="12"/>
    </row>
    <row r="36" spans="1:4" x14ac:dyDescent="0.25">
      <c r="B36" s="12"/>
    </row>
    <row r="37" spans="1:4" x14ac:dyDescent="0.25">
      <c r="A37" s="70"/>
      <c r="B37" s="38"/>
      <c r="C37" s="38"/>
      <c r="D37" s="38"/>
    </row>
    <row r="38" spans="1:4" x14ac:dyDescent="0.25">
      <c r="A38" s="70"/>
      <c r="B38" s="38"/>
      <c r="C38" s="38"/>
      <c r="D38" s="38"/>
    </row>
    <row r="39" spans="1:4" x14ac:dyDescent="0.25">
      <c r="A39" s="70"/>
      <c r="B39" s="12"/>
      <c r="C39" s="38"/>
      <c r="D39" s="38"/>
    </row>
    <row r="40" spans="1:4" x14ac:dyDescent="0.25">
      <c r="A40" s="70"/>
      <c r="B40" s="12"/>
      <c r="C40" s="38"/>
      <c r="D40" s="38"/>
    </row>
    <row r="41" spans="1:4" x14ac:dyDescent="0.25">
      <c r="A41" s="70"/>
      <c r="B41" s="12"/>
      <c r="C41" s="38"/>
      <c r="D41" s="38"/>
    </row>
    <row r="42" spans="1:4" x14ac:dyDescent="0.25">
      <c r="A42" s="70"/>
      <c r="B42" s="12"/>
      <c r="C42" s="38"/>
      <c r="D42" s="38"/>
    </row>
    <row r="43" spans="1:4" x14ac:dyDescent="0.25">
      <c r="A43" s="70"/>
      <c r="B43" s="12"/>
      <c r="C43" s="38"/>
      <c r="D43" s="38"/>
    </row>
    <row r="44" spans="1:4" x14ac:dyDescent="0.25">
      <c r="A44" s="70"/>
      <c r="B44" s="12"/>
      <c r="C44" s="38"/>
      <c r="D44" s="38"/>
    </row>
    <row r="45" spans="1:4" x14ac:dyDescent="0.25">
      <c r="A45" s="70"/>
      <c r="B45" s="38"/>
      <c r="C45" s="38"/>
      <c r="D45" s="38"/>
    </row>
    <row r="46" spans="1:4" x14ac:dyDescent="0.25">
      <c r="A46" s="70"/>
      <c r="B46" s="38"/>
      <c r="C46" s="38"/>
      <c r="D46" s="38"/>
    </row>
    <row r="47" spans="1:4" x14ac:dyDescent="0.25">
      <c r="A47" s="70"/>
      <c r="B47" s="38"/>
      <c r="C47" s="38"/>
      <c r="D47" s="38"/>
    </row>
    <row r="48" spans="1:4" x14ac:dyDescent="0.25">
      <c r="A48" s="70"/>
      <c r="B48" s="38"/>
      <c r="C48" s="38"/>
      <c r="D48" s="38"/>
    </row>
    <row r="49" spans="1:4" x14ac:dyDescent="0.25">
      <c r="A49" s="70"/>
      <c r="B49" s="38"/>
      <c r="C49" s="38"/>
      <c r="D49" s="38"/>
    </row>
    <row r="50" spans="1:4" x14ac:dyDescent="0.25">
      <c r="A50" s="70"/>
      <c r="B50" s="38"/>
      <c r="C50" s="38"/>
      <c r="D50" s="38"/>
    </row>
    <row r="51" spans="1:4" x14ac:dyDescent="0.25">
      <c r="A51" s="70"/>
      <c r="B51" s="38"/>
      <c r="C51" s="38"/>
      <c r="D51" s="38"/>
    </row>
    <row r="52" spans="1:4" x14ac:dyDescent="0.25">
      <c r="A52" s="70"/>
      <c r="B52" s="38"/>
      <c r="C52" s="38"/>
      <c r="D52" s="38"/>
    </row>
    <row r="53" spans="1:4" x14ac:dyDescent="0.25">
      <c r="A53" s="70"/>
      <c r="B53" s="38"/>
      <c r="C53" s="38"/>
      <c r="D53" s="38"/>
    </row>
    <row r="54" spans="1:4" x14ac:dyDescent="0.25">
      <c r="A54" s="70"/>
      <c r="B54" s="38"/>
      <c r="C54" s="38"/>
      <c r="D54" s="38"/>
    </row>
    <row r="55" spans="1:4" x14ac:dyDescent="0.25">
      <c r="A55" s="70"/>
      <c r="B55" s="38"/>
      <c r="C55" s="38"/>
      <c r="D55" s="38"/>
    </row>
    <row r="56" spans="1:4" x14ac:dyDescent="0.25">
      <c r="A56" s="70"/>
      <c r="B56" s="38"/>
      <c r="C56" s="38"/>
      <c r="D56" s="38"/>
    </row>
    <row r="57" spans="1:4" x14ac:dyDescent="0.25">
      <c r="A57" s="70"/>
      <c r="B57" s="38"/>
      <c r="C57" s="38"/>
      <c r="D57" s="38"/>
    </row>
    <row r="58" spans="1:4" x14ac:dyDescent="0.25">
      <c r="A58" s="70"/>
      <c r="B58" s="38"/>
      <c r="C58" s="38"/>
      <c r="D58" s="38"/>
    </row>
    <row r="59" spans="1:4" x14ac:dyDescent="0.25">
      <c r="A59" s="70"/>
      <c r="B59" s="38"/>
      <c r="C59" s="38"/>
      <c r="D59" s="38"/>
    </row>
    <row r="60" spans="1:4" x14ac:dyDescent="0.25">
      <c r="A60" s="70"/>
      <c r="B60" s="12"/>
      <c r="C60" s="38"/>
      <c r="D60" s="38"/>
    </row>
    <row r="61" spans="1:4" x14ac:dyDescent="0.25">
      <c r="A61" s="70"/>
      <c r="B61" s="12"/>
      <c r="C61" s="38"/>
      <c r="D61" s="38"/>
    </row>
    <row r="62" spans="1:4" x14ac:dyDescent="0.25">
      <c r="A62" s="70"/>
      <c r="B62" s="12"/>
      <c r="C62" s="38"/>
      <c r="D62" s="38"/>
    </row>
    <row r="63" spans="1:4" x14ac:dyDescent="0.25">
      <c r="A63" s="70"/>
      <c r="B63" s="12"/>
      <c r="C63" s="38"/>
      <c r="D63" s="38"/>
    </row>
    <row r="64" spans="1:4" x14ac:dyDescent="0.25">
      <c r="A64" s="70"/>
      <c r="B64" s="12"/>
      <c r="C64" s="38"/>
      <c r="D64" s="38"/>
    </row>
    <row r="65" spans="1:4" x14ac:dyDescent="0.25">
      <c r="A65" s="70"/>
      <c r="B65" s="12"/>
      <c r="C65" s="38"/>
      <c r="D65" s="38"/>
    </row>
    <row r="66" spans="1:4" x14ac:dyDescent="0.25">
      <c r="A66" s="70"/>
      <c r="B66" s="12"/>
      <c r="C66" s="38"/>
      <c r="D66" s="38"/>
    </row>
    <row r="67" spans="1:4" x14ac:dyDescent="0.25">
      <c r="A67" s="70"/>
      <c r="B67" s="12"/>
      <c r="C67" s="38"/>
      <c r="D67" s="38"/>
    </row>
    <row r="68" spans="1:4" x14ac:dyDescent="0.25">
      <c r="A68" s="70"/>
      <c r="B68" s="12"/>
      <c r="C68" s="38"/>
      <c r="D68" s="38"/>
    </row>
    <row r="69" spans="1:4" x14ac:dyDescent="0.25">
      <c r="A69" s="70"/>
      <c r="B69" s="12"/>
      <c r="C69" s="38"/>
      <c r="D69" s="38"/>
    </row>
    <row r="70" spans="1:4" x14ac:dyDescent="0.25">
      <c r="A70" s="70"/>
      <c r="B70" s="12"/>
      <c r="C70" s="38"/>
      <c r="D70" s="38"/>
    </row>
    <row r="71" spans="1:4" x14ac:dyDescent="0.25">
      <c r="A71" s="70"/>
      <c r="B71" s="12"/>
      <c r="C71" s="38"/>
      <c r="D71" s="38"/>
    </row>
    <row r="72" spans="1:4" x14ac:dyDescent="0.25">
      <c r="A72" s="70"/>
      <c r="B72" s="12"/>
      <c r="C72" s="38"/>
      <c r="D72" s="38"/>
    </row>
    <row r="73" spans="1:4" x14ac:dyDescent="0.25">
      <c r="A73" s="70"/>
      <c r="B73" s="12"/>
      <c r="C73" s="38"/>
      <c r="D73" s="38"/>
    </row>
    <row r="74" spans="1:4" x14ac:dyDescent="0.25">
      <c r="A74" s="70"/>
      <c r="B74" s="12"/>
      <c r="C74" s="38"/>
      <c r="D74" s="38"/>
    </row>
    <row r="75" spans="1:4" x14ac:dyDescent="0.25">
      <c r="A75" s="70"/>
      <c r="B75" s="12"/>
      <c r="C75" s="38"/>
      <c r="D75" s="38"/>
    </row>
    <row r="76" spans="1:4" x14ac:dyDescent="0.25">
      <c r="A76" s="70"/>
      <c r="B76" s="12"/>
      <c r="C76" s="38"/>
      <c r="D76" s="38"/>
    </row>
    <row r="77" spans="1:4" x14ac:dyDescent="0.25">
      <c r="A77" s="70"/>
      <c r="B77" s="12"/>
      <c r="C77" s="38"/>
      <c r="D77" s="38"/>
    </row>
    <row r="78" spans="1:4" x14ac:dyDescent="0.25">
      <c r="A78" s="70"/>
      <c r="B78" s="12"/>
      <c r="C78" s="38"/>
      <c r="D78" s="38"/>
    </row>
    <row r="79" spans="1:4" x14ac:dyDescent="0.25">
      <c r="A79" s="70"/>
      <c r="B79" s="38"/>
      <c r="C79" s="38"/>
      <c r="D79" s="38"/>
    </row>
    <row r="80" spans="1:4" x14ac:dyDescent="0.25">
      <c r="A80" s="70"/>
      <c r="B80" s="38"/>
      <c r="C80" s="38"/>
      <c r="D80" s="38"/>
    </row>
    <row r="81" spans="2:2" x14ac:dyDescent="0.25">
      <c r="B81" s="12"/>
    </row>
    <row r="82" spans="2:2" x14ac:dyDescent="0.25">
      <c r="B82" s="12"/>
    </row>
    <row r="83" spans="2:2" x14ac:dyDescent="0.25">
      <c r="B83" s="12"/>
    </row>
    <row r="84" spans="2:2" x14ac:dyDescent="0.25">
      <c r="B84" s="12"/>
    </row>
    <row r="85" spans="2:2" x14ac:dyDescent="0.25">
      <c r="B85" s="12"/>
    </row>
    <row r="86" spans="2:2" x14ac:dyDescent="0.25">
      <c r="B86" s="12"/>
    </row>
    <row r="87" spans="2:2" x14ac:dyDescent="0.25">
      <c r="B87" s="12"/>
    </row>
    <row r="88" spans="2:2" x14ac:dyDescent="0.25">
      <c r="B88" s="12"/>
    </row>
    <row r="89" spans="2:2" x14ac:dyDescent="0.25">
      <c r="B89" s="12"/>
    </row>
    <row r="90" spans="2:2" x14ac:dyDescent="0.25">
      <c r="B90" s="12"/>
    </row>
    <row r="91" spans="2:2" x14ac:dyDescent="0.25">
      <c r="B91" s="12"/>
    </row>
    <row r="92" spans="2:2" x14ac:dyDescent="0.25">
      <c r="B92" s="12"/>
    </row>
    <row r="93" spans="2:2" x14ac:dyDescent="0.25">
      <c r="B93" s="12"/>
    </row>
    <row r="94" spans="2:2" x14ac:dyDescent="0.25">
      <c r="B94" s="12"/>
    </row>
    <row r="95" spans="2:2" x14ac:dyDescent="0.25">
      <c r="B95" s="12"/>
    </row>
    <row r="96" spans="2:2" x14ac:dyDescent="0.25">
      <c r="B96" s="12"/>
    </row>
    <row r="97" spans="2:2" x14ac:dyDescent="0.25">
      <c r="B97" s="12"/>
    </row>
    <row r="98" spans="2:2" x14ac:dyDescent="0.25">
      <c r="B98" s="12"/>
    </row>
  </sheetData>
  <mergeCells count="1">
    <mergeCell ref="A1:D2"/>
  </mergeCells>
  <phoneticPr fontId="3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1:I336"/>
  <sheetViews>
    <sheetView topLeftCell="B1" workbookViewId="0">
      <pane ySplit="3" topLeftCell="A291" activePane="bottomLeft" state="frozen"/>
      <selection activeCell="B1" sqref="B1"/>
      <selection pane="bottomLeft" activeCell="B330" sqref="B330:H336"/>
    </sheetView>
  </sheetViews>
  <sheetFormatPr baseColWidth="10" defaultColWidth="11.42578125" defaultRowHeight="15" x14ac:dyDescent="0.25"/>
  <cols>
    <col min="2" max="2" width="26.5703125" customWidth="1"/>
    <col min="3" max="3" width="23.5703125" customWidth="1"/>
    <col min="4" max="4" width="16.5703125" customWidth="1"/>
    <col min="8" max="8" width="11.85546875" customWidth="1"/>
    <col min="9" max="9" width="28" customWidth="1"/>
  </cols>
  <sheetData>
    <row r="1" spans="2:9" ht="22.5" customHeight="1" x14ac:dyDescent="0.25">
      <c r="B1" s="188" t="s">
        <v>55</v>
      </c>
      <c r="C1" s="188"/>
      <c r="D1" s="188"/>
      <c r="E1" s="188"/>
      <c r="F1" s="188"/>
      <c r="G1" s="188"/>
      <c r="H1" s="188"/>
      <c r="I1" s="18"/>
    </row>
    <row r="2" spans="2:9" ht="15.75" customHeight="1" thickBot="1" x14ac:dyDescent="0.3">
      <c r="B2" s="189"/>
      <c r="C2" s="189"/>
      <c r="D2" s="189"/>
      <c r="E2" s="189"/>
      <c r="F2" s="189"/>
      <c r="G2" s="189"/>
      <c r="H2" s="189"/>
      <c r="I2" s="18"/>
    </row>
    <row r="3" spans="2:9" ht="54.75" thickBot="1" x14ac:dyDescent="0.3">
      <c r="B3" s="19" t="s">
        <v>56</v>
      </c>
      <c r="C3" s="20" t="s">
        <v>57</v>
      </c>
      <c r="D3" s="20" t="s">
        <v>19</v>
      </c>
      <c r="E3" s="21" t="s">
        <v>58</v>
      </c>
      <c r="F3" s="20" t="s">
        <v>59</v>
      </c>
      <c r="G3" s="20" t="s">
        <v>60</v>
      </c>
      <c r="H3" s="22" t="s">
        <v>61</v>
      </c>
      <c r="I3" s="18"/>
    </row>
    <row r="4" spans="2:9" ht="15.75" x14ac:dyDescent="0.25">
      <c r="G4" s="57"/>
    </row>
    <row r="5" spans="2:9" ht="20.25" thickBot="1" x14ac:dyDescent="0.45">
      <c r="B5" s="40" t="s">
        <v>62</v>
      </c>
      <c r="C5" s="40" t="s">
        <v>62</v>
      </c>
      <c r="D5" s="41" t="s">
        <v>63</v>
      </c>
      <c r="E5" s="42"/>
      <c r="F5" s="43"/>
      <c r="G5" s="44" t="s">
        <v>64</v>
      </c>
      <c r="H5" s="45"/>
    </row>
    <row r="6" spans="2:9" ht="16.5" thickBot="1" x14ac:dyDescent="0.35">
      <c r="B6" s="46">
        <v>1.02</v>
      </c>
      <c r="C6" s="46">
        <v>1</v>
      </c>
      <c r="D6" s="47">
        <f>(B6+C6)/2</f>
        <v>1.01</v>
      </c>
      <c r="E6" s="48"/>
      <c r="F6" s="48"/>
      <c r="G6" s="49">
        <f>(1*1)/D6</f>
        <v>0.99009900990099009</v>
      </c>
      <c r="H6" s="48"/>
    </row>
    <row r="7" spans="2:9" ht="16.5" thickBot="1" x14ac:dyDescent="0.3">
      <c r="B7" s="50" t="s">
        <v>65</v>
      </c>
      <c r="C7" s="76" t="s">
        <v>65</v>
      </c>
      <c r="D7" s="76" t="s">
        <v>65</v>
      </c>
      <c r="E7" s="51"/>
      <c r="F7" s="76" t="s">
        <v>66</v>
      </c>
      <c r="G7" s="76"/>
      <c r="H7" s="76"/>
    </row>
    <row r="8" spans="2:9" ht="16.5" thickBot="1" x14ac:dyDescent="0.35">
      <c r="B8" s="77">
        <v>10.199999999999999</v>
      </c>
      <c r="C8" s="77">
        <v>10.3</v>
      </c>
      <c r="D8" s="47"/>
      <c r="E8" s="52"/>
      <c r="F8" s="52"/>
      <c r="G8" s="53">
        <f>(B8+C8+D8)/2</f>
        <v>10.25</v>
      </c>
      <c r="H8" s="54"/>
    </row>
    <row r="9" spans="2:9" ht="15.75" x14ac:dyDescent="0.25">
      <c r="B9" s="55">
        <v>44235</v>
      </c>
      <c r="C9" s="56" t="s">
        <v>16</v>
      </c>
      <c r="D9" s="51">
        <v>0.5</v>
      </c>
      <c r="E9" s="57">
        <f>(G8)</f>
        <v>10.25</v>
      </c>
      <c r="F9" s="58">
        <v>2.9</v>
      </c>
      <c r="G9" s="59">
        <f>+((E9-F9)*G6*(0.5172)/D9)</f>
        <v>7.5275643564356427</v>
      </c>
      <c r="H9" s="51" t="s">
        <v>67</v>
      </c>
    </row>
    <row r="10" spans="2:9" ht="15.75" x14ac:dyDescent="0.25">
      <c r="B10" s="55">
        <v>44235</v>
      </c>
      <c r="C10" s="56" t="s">
        <v>16</v>
      </c>
      <c r="D10" s="51">
        <v>0.5</v>
      </c>
      <c r="E10" s="57">
        <f>(G8)</f>
        <v>10.25</v>
      </c>
      <c r="F10" s="58">
        <v>6.8</v>
      </c>
      <c r="G10" s="59">
        <f>+((E10-F10)*G6*(0.5172)/D10)</f>
        <v>3.5333465346534654</v>
      </c>
      <c r="H10" s="51" t="s">
        <v>68</v>
      </c>
    </row>
    <row r="11" spans="2:9" ht="15.75" x14ac:dyDescent="0.25">
      <c r="B11" s="55">
        <v>44235</v>
      </c>
      <c r="C11" s="51" t="s">
        <v>16</v>
      </c>
      <c r="D11" s="58">
        <v>1</v>
      </c>
      <c r="E11" s="57">
        <f>(G8)</f>
        <v>10.25</v>
      </c>
      <c r="F11" s="58">
        <v>7.8</v>
      </c>
      <c r="G11" s="59">
        <f>+((E11-F11)*G6*(0.5172)/D11)</f>
        <v>1.2545940594059406</v>
      </c>
      <c r="H11" s="51" t="s">
        <v>69</v>
      </c>
    </row>
    <row r="12" spans="2:9" ht="15.75" x14ac:dyDescent="0.25">
      <c r="B12" s="55">
        <v>44235</v>
      </c>
      <c r="C12" s="51" t="s">
        <v>16</v>
      </c>
      <c r="D12" s="58">
        <v>1</v>
      </c>
      <c r="E12" s="57">
        <f>($G$8)</f>
        <v>10.25</v>
      </c>
      <c r="F12" s="58">
        <v>7.9</v>
      </c>
      <c r="G12" s="59">
        <f>+((E12-F12)*G6*(0.5172)/D12)</f>
        <v>1.2033861386138613</v>
      </c>
      <c r="H12" s="51" t="s">
        <v>69</v>
      </c>
    </row>
    <row r="13" spans="2:9" ht="15.75" x14ac:dyDescent="0.25">
      <c r="B13" s="55">
        <v>44235</v>
      </c>
      <c r="C13" s="83" t="s">
        <v>34</v>
      </c>
      <c r="D13" s="51">
        <v>0.5</v>
      </c>
      <c r="E13" s="57">
        <f t="shared" ref="E13:E48" si="0">($G$8)</f>
        <v>10.25</v>
      </c>
      <c r="F13" s="58">
        <v>8.3000000000000007</v>
      </c>
      <c r="G13" s="57">
        <f>+((E13-F13)*0.9901*(0.5172)/D13)</f>
        <v>1.9971109079999991</v>
      </c>
    </row>
    <row r="14" spans="2:9" ht="15.75" x14ac:dyDescent="0.25">
      <c r="B14" s="55">
        <v>44235</v>
      </c>
      <c r="C14" s="83" t="s">
        <v>35</v>
      </c>
      <c r="D14" s="51">
        <v>0.5</v>
      </c>
      <c r="E14" s="57">
        <f t="shared" si="0"/>
        <v>10.25</v>
      </c>
      <c r="F14" s="58">
        <v>7.7</v>
      </c>
      <c r="G14" s="57">
        <f t="shared" ref="G14:G48" si="1">+((E14-F14)*0.9901*(0.5172)/D14)</f>
        <v>2.6116065719999999</v>
      </c>
    </row>
    <row r="15" spans="2:9" ht="15.75" x14ac:dyDescent="0.25">
      <c r="B15" s="55">
        <v>44235</v>
      </c>
      <c r="C15" s="83" t="s">
        <v>36</v>
      </c>
      <c r="D15" s="51">
        <v>0.5</v>
      </c>
      <c r="E15" s="57">
        <f t="shared" si="0"/>
        <v>10.25</v>
      </c>
      <c r="F15" s="58">
        <v>8.9</v>
      </c>
      <c r="G15" s="57">
        <f t="shared" si="1"/>
        <v>1.3826152439999995</v>
      </c>
    </row>
    <row r="16" spans="2:9" ht="15.75" x14ac:dyDescent="0.25">
      <c r="B16" s="55">
        <v>44235</v>
      </c>
      <c r="C16" s="83" t="s">
        <v>37</v>
      </c>
      <c r="D16" s="51">
        <v>0.5</v>
      </c>
      <c r="E16" s="57">
        <f t="shared" si="0"/>
        <v>10.25</v>
      </c>
      <c r="F16" s="58">
        <v>9.1</v>
      </c>
      <c r="G16" s="57">
        <f t="shared" si="1"/>
        <v>1.1777833560000004</v>
      </c>
    </row>
    <row r="17" spans="2:7" ht="15.75" x14ac:dyDescent="0.25">
      <c r="B17" s="55">
        <v>44235</v>
      </c>
      <c r="C17" s="83" t="s">
        <v>70</v>
      </c>
      <c r="D17" s="51">
        <v>0.5</v>
      </c>
      <c r="E17" s="57">
        <f t="shared" si="0"/>
        <v>10.25</v>
      </c>
      <c r="F17" s="58">
        <v>8.1</v>
      </c>
      <c r="G17" s="57">
        <f t="shared" si="1"/>
        <v>2.201942796</v>
      </c>
    </row>
    <row r="18" spans="2:7" ht="15.75" x14ac:dyDescent="0.25">
      <c r="B18" s="55">
        <v>44235</v>
      </c>
      <c r="C18" s="83" t="s">
        <v>71</v>
      </c>
      <c r="D18" s="51">
        <v>0.5</v>
      </c>
      <c r="E18" s="57">
        <f t="shared" si="0"/>
        <v>10.25</v>
      </c>
      <c r="F18" s="58">
        <v>8.9</v>
      </c>
      <c r="G18" s="57">
        <f t="shared" si="1"/>
        <v>1.3826152439999995</v>
      </c>
    </row>
    <row r="19" spans="2:7" ht="15.75" x14ac:dyDescent="0.25">
      <c r="B19" s="55">
        <v>44235</v>
      </c>
      <c r="C19" s="83" t="s">
        <v>72</v>
      </c>
      <c r="D19" s="51">
        <v>0.5</v>
      </c>
      <c r="E19" s="57">
        <f t="shared" si="0"/>
        <v>10.25</v>
      </c>
      <c r="F19" s="58">
        <v>8.3000000000000007</v>
      </c>
      <c r="G19" s="57">
        <f t="shared" si="1"/>
        <v>1.9971109079999991</v>
      </c>
    </row>
    <row r="20" spans="2:7" ht="15.75" x14ac:dyDescent="0.25">
      <c r="B20" s="55">
        <v>44235</v>
      </c>
      <c r="C20" s="83" t="s">
        <v>73</v>
      </c>
      <c r="D20" s="51">
        <v>0.5</v>
      </c>
      <c r="E20" s="57">
        <f t="shared" si="0"/>
        <v>10.25</v>
      </c>
      <c r="F20" s="58">
        <v>8.1999999999999993</v>
      </c>
      <c r="G20" s="57">
        <f t="shared" si="1"/>
        <v>2.0995268520000008</v>
      </c>
    </row>
    <row r="21" spans="2:7" ht="15.75" x14ac:dyDescent="0.25">
      <c r="B21" s="55">
        <v>44235</v>
      </c>
      <c r="C21" s="83" t="s">
        <v>74</v>
      </c>
      <c r="D21" s="51">
        <v>0.5</v>
      </c>
      <c r="E21" s="57">
        <f t="shared" si="0"/>
        <v>10.25</v>
      </c>
      <c r="F21" s="58">
        <v>9</v>
      </c>
      <c r="G21" s="57">
        <f t="shared" si="1"/>
        <v>1.2801993</v>
      </c>
    </row>
    <row r="22" spans="2:7" ht="15.75" x14ac:dyDescent="0.25">
      <c r="B22" s="55">
        <v>44235</v>
      </c>
      <c r="C22" s="83" t="s">
        <v>75</v>
      </c>
      <c r="D22" s="51">
        <v>0.5</v>
      </c>
      <c r="E22" s="57">
        <f t="shared" si="0"/>
        <v>10.25</v>
      </c>
      <c r="F22" s="58">
        <v>8.9</v>
      </c>
      <c r="G22" s="57">
        <f t="shared" si="1"/>
        <v>1.3826152439999995</v>
      </c>
    </row>
    <row r="23" spans="2:7" ht="15.75" x14ac:dyDescent="0.25">
      <c r="B23" s="55">
        <v>44235</v>
      </c>
      <c r="C23" s="83" t="s">
        <v>76</v>
      </c>
      <c r="D23" s="51">
        <v>0.5</v>
      </c>
      <c r="E23" s="57">
        <f t="shared" si="0"/>
        <v>10.25</v>
      </c>
      <c r="F23" s="58">
        <v>8.5</v>
      </c>
      <c r="G23" s="57">
        <f t="shared" si="1"/>
        <v>1.7922790199999998</v>
      </c>
    </row>
    <row r="24" spans="2:7" ht="15.75" x14ac:dyDescent="0.25">
      <c r="B24" s="55">
        <v>44235</v>
      </c>
      <c r="C24" s="83" t="s">
        <v>77</v>
      </c>
      <c r="D24" s="51">
        <v>0.5</v>
      </c>
      <c r="E24" s="57">
        <f t="shared" si="0"/>
        <v>10.25</v>
      </c>
      <c r="F24" s="58">
        <v>8.8000000000000007</v>
      </c>
      <c r="G24" s="57">
        <f t="shared" si="1"/>
        <v>1.4850311879999991</v>
      </c>
    </row>
    <row r="25" spans="2:7" ht="15.75" x14ac:dyDescent="0.25">
      <c r="B25" s="55">
        <v>44235</v>
      </c>
      <c r="C25" s="83" t="s">
        <v>78</v>
      </c>
      <c r="D25" s="51">
        <v>0.5</v>
      </c>
      <c r="E25" s="57">
        <f t="shared" si="0"/>
        <v>10.25</v>
      </c>
      <c r="F25" s="58">
        <v>8.6</v>
      </c>
      <c r="G25" s="57">
        <f t="shared" si="1"/>
        <v>1.6898630760000004</v>
      </c>
    </row>
    <row r="26" spans="2:7" ht="15.75" x14ac:dyDescent="0.25">
      <c r="B26" s="55">
        <v>44235</v>
      </c>
      <c r="C26" s="83" t="s">
        <v>79</v>
      </c>
      <c r="D26" s="51">
        <v>0.5</v>
      </c>
      <c r="E26" s="57">
        <f t="shared" si="0"/>
        <v>10.25</v>
      </c>
      <c r="F26" s="58">
        <v>8.5</v>
      </c>
      <c r="G26" s="57">
        <f t="shared" si="1"/>
        <v>1.7922790199999998</v>
      </c>
    </row>
    <row r="27" spans="2:7" ht="15.75" x14ac:dyDescent="0.25">
      <c r="B27" s="55">
        <v>44235</v>
      </c>
      <c r="C27" s="83" t="s">
        <v>80</v>
      </c>
      <c r="D27" s="51">
        <v>0.5</v>
      </c>
      <c r="E27" s="57">
        <f t="shared" si="0"/>
        <v>10.25</v>
      </c>
      <c r="F27" s="58">
        <v>8</v>
      </c>
      <c r="G27" s="57">
        <f t="shared" si="1"/>
        <v>2.3043587400000001</v>
      </c>
    </row>
    <row r="28" spans="2:7" ht="15.75" x14ac:dyDescent="0.25">
      <c r="B28" s="55">
        <v>44235</v>
      </c>
      <c r="C28" s="83" t="s">
        <v>81</v>
      </c>
      <c r="D28" s="51">
        <v>0.5</v>
      </c>
      <c r="E28" s="57">
        <f t="shared" si="0"/>
        <v>10.25</v>
      </c>
      <c r="F28" s="58">
        <v>7.9</v>
      </c>
      <c r="G28" s="57">
        <f t="shared" si="1"/>
        <v>2.4067746839999997</v>
      </c>
    </row>
    <row r="29" spans="2:7" ht="15.75" x14ac:dyDescent="0.25">
      <c r="B29" s="55">
        <v>44235</v>
      </c>
      <c r="C29" s="83" t="s">
        <v>82</v>
      </c>
      <c r="D29" s="51">
        <v>0.5</v>
      </c>
      <c r="E29" s="57">
        <f t="shared" si="0"/>
        <v>10.25</v>
      </c>
      <c r="F29" s="58">
        <v>7.7</v>
      </c>
      <c r="G29" s="57">
        <f t="shared" si="1"/>
        <v>2.6116065719999999</v>
      </c>
    </row>
    <row r="30" spans="2:7" ht="15.75" x14ac:dyDescent="0.25">
      <c r="B30" s="55">
        <v>44235</v>
      </c>
      <c r="C30" s="83" t="s">
        <v>83</v>
      </c>
      <c r="D30" s="51">
        <v>0.5</v>
      </c>
      <c r="E30" s="57">
        <f t="shared" si="0"/>
        <v>10.25</v>
      </c>
      <c r="F30" s="58">
        <v>8.6</v>
      </c>
      <c r="G30" s="57">
        <f t="shared" si="1"/>
        <v>1.6898630760000004</v>
      </c>
    </row>
    <row r="31" spans="2:7" ht="15.75" x14ac:dyDescent="0.25">
      <c r="B31" s="55">
        <v>44235</v>
      </c>
      <c r="C31" s="83" t="s">
        <v>84</v>
      </c>
      <c r="D31" s="51">
        <v>0.5</v>
      </c>
      <c r="E31" s="57">
        <f t="shared" si="0"/>
        <v>10.25</v>
      </c>
      <c r="F31" s="58">
        <v>8.8000000000000007</v>
      </c>
      <c r="G31" s="57">
        <f t="shared" si="1"/>
        <v>1.4850311879999991</v>
      </c>
    </row>
    <row r="32" spans="2:7" ht="15.75" x14ac:dyDescent="0.25">
      <c r="B32" s="55">
        <v>44235</v>
      </c>
      <c r="C32" s="83" t="s">
        <v>85</v>
      </c>
      <c r="D32" s="51">
        <v>0.5</v>
      </c>
      <c r="E32" s="57">
        <f t="shared" si="0"/>
        <v>10.25</v>
      </c>
      <c r="F32" s="58">
        <v>6.9</v>
      </c>
      <c r="G32" s="57">
        <f t="shared" si="1"/>
        <v>3.4309341239999998</v>
      </c>
    </row>
    <row r="33" spans="2:7" ht="15.75" x14ac:dyDescent="0.25">
      <c r="B33" s="55">
        <v>44235</v>
      </c>
      <c r="C33" s="83" t="s">
        <v>86</v>
      </c>
      <c r="D33" s="51">
        <v>0.5</v>
      </c>
      <c r="E33" s="57">
        <f t="shared" si="0"/>
        <v>10.25</v>
      </c>
      <c r="F33" s="58">
        <v>8.3000000000000007</v>
      </c>
      <c r="G33" s="57">
        <f t="shared" si="1"/>
        <v>1.9971109079999991</v>
      </c>
    </row>
    <row r="34" spans="2:7" ht="15.75" x14ac:dyDescent="0.25">
      <c r="B34" s="55">
        <v>44235</v>
      </c>
      <c r="C34" s="83" t="s">
        <v>87</v>
      </c>
      <c r="D34" s="51">
        <v>0.5</v>
      </c>
      <c r="E34" s="57">
        <f t="shared" si="0"/>
        <v>10.25</v>
      </c>
      <c r="F34" s="58">
        <v>8.1</v>
      </c>
      <c r="G34" s="57">
        <f t="shared" si="1"/>
        <v>2.201942796</v>
      </c>
    </row>
    <row r="35" spans="2:7" ht="15.75" x14ac:dyDescent="0.25">
      <c r="B35" s="55">
        <v>44235</v>
      </c>
      <c r="C35" s="83" t="s">
        <v>88</v>
      </c>
      <c r="D35" s="51">
        <v>0.5</v>
      </c>
      <c r="E35" s="57">
        <f t="shared" si="0"/>
        <v>10.25</v>
      </c>
      <c r="F35" s="58">
        <v>8.1999999999999993</v>
      </c>
      <c r="G35" s="57">
        <f t="shared" si="1"/>
        <v>2.0995268520000008</v>
      </c>
    </row>
    <row r="36" spans="2:7" ht="15.75" x14ac:dyDescent="0.25">
      <c r="B36" s="55">
        <v>44235</v>
      </c>
      <c r="C36" s="83" t="s">
        <v>89</v>
      </c>
      <c r="D36" s="51">
        <v>0.5</v>
      </c>
      <c r="E36" s="57">
        <f t="shared" si="0"/>
        <v>10.25</v>
      </c>
      <c r="F36" s="58">
        <v>8.4</v>
      </c>
      <c r="G36" s="57">
        <f t="shared" si="1"/>
        <v>1.8946949639999995</v>
      </c>
    </row>
    <row r="37" spans="2:7" ht="15.75" x14ac:dyDescent="0.25">
      <c r="B37" s="55">
        <v>44235</v>
      </c>
      <c r="C37" s="83" t="s">
        <v>90</v>
      </c>
      <c r="D37" s="51">
        <v>0.5</v>
      </c>
      <c r="E37" s="57">
        <f t="shared" si="0"/>
        <v>10.25</v>
      </c>
      <c r="F37" s="58">
        <v>8.8000000000000007</v>
      </c>
      <c r="G37" s="57">
        <f t="shared" si="1"/>
        <v>1.4850311879999991</v>
      </c>
    </row>
    <row r="38" spans="2:7" ht="15.75" x14ac:dyDescent="0.25">
      <c r="B38" s="55">
        <v>44235</v>
      </c>
      <c r="C38" s="83" t="s">
        <v>91</v>
      </c>
      <c r="D38" s="51">
        <v>0.5</v>
      </c>
      <c r="E38" s="57">
        <f t="shared" si="0"/>
        <v>10.25</v>
      </c>
      <c r="F38" s="58">
        <v>7.4</v>
      </c>
      <c r="G38" s="57">
        <f t="shared" si="1"/>
        <v>2.9188544039999997</v>
      </c>
    </row>
    <row r="39" spans="2:7" ht="15.75" x14ac:dyDescent="0.25">
      <c r="B39" s="55">
        <v>44235</v>
      </c>
      <c r="C39" s="83" t="s">
        <v>92</v>
      </c>
      <c r="D39" s="51">
        <v>0.5</v>
      </c>
      <c r="E39" s="57">
        <f t="shared" si="0"/>
        <v>10.25</v>
      </c>
      <c r="F39" s="58">
        <v>8.6</v>
      </c>
      <c r="G39" s="57">
        <f t="shared" si="1"/>
        <v>1.6898630760000004</v>
      </c>
    </row>
    <row r="40" spans="2:7" ht="15.75" x14ac:dyDescent="0.25">
      <c r="B40" s="55">
        <v>44235</v>
      </c>
      <c r="C40" s="83" t="s">
        <v>93</v>
      </c>
      <c r="D40" s="51">
        <v>0.5</v>
      </c>
      <c r="E40" s="57">
        <f t="shared" si="0"/>
        <v>10.25</v>
      </c>
      <c r="F40" s="58">
        <v>8</v>
      </c>
      <c r="G40" s="57">
        <f t="shared" si="1"/>
        <v>2.3043587400000001</v>
      </c>
    </row>
    <row r="41" spans="2:7" ht="15.75" x14ac:dyDescent="0.25">
      <c r="B41" s="55">
        <v>44235</v>
      </c>
      <c r="C41" s="83" t="s">
        <v>94</v>
      </c>
      <c r="D41" s="51">
        <v>0.5</v>
      </c>
      <c r="E41" s="57">
        <f t="shared" si="0"/>
        <v>10.25</v>
      </c>
      <c r="F41" s="58">
        <v>9</v>
      </c>
      <c r="G41" s="57">
        <f t="shared" si="1"/>
        <v>1.2801993</v>
      </c>
    </row>
    <row r="42" spans="2:7" ht="15.75" x14ac:dyDescent="0.25">
      <c r="B42" s="55">
        <v>44235</v>
      </c>
      <c r="C42" s="83" t="s">
        <v>95</v>
      </c>
      <c r="D42" s="51">
        <v>0.5</v>
      </c>
      <c r="E42" s="57">
        <f t="shared" si="0"/>
        <v>10.25</v>
      </c>
      <c r="F42" s="58">
        <v>8.6</v>
      </c>
      <c r="G42" s="57">
        <f t="shared" si="1"/>
        <v>1.6898630760000004</v>
      </c>
    </row>
    <row r="43" spans="2:7" ht="15.75" x14ac:dyDescent="0.25">
      <c r="B43" s="55">
        <v>44235</v>
      </c>
      <c r="C43" s="83" t="s">
        <v>96</v>
      </c>
      <c r="D43" s="51">
        <v>0.5</v>
      </c>
      <c r="E43" s="57">
        <f t="shared" si="0"/>
        <v>10.25</v>
      </c>
      <c r="F43" s="58">
        <v>7.6</v>
      </c>
      <c r="G43" s="57">
        <f t="shared" si="1"/>
        <v>2.714022516</v>
      </c>
    </row>
    <row r="44" spans="2:7" ht="15.75" x14ac:dyDescent="0.25">
      <c r="B44" s="55">
        <v>44235</v>
      </c>
      <c r="C44" s="83" t="s">
        <v>97</v>
      </c>
      <c r="D44" s="51">
        <v>0.5</v>
      </c>
      <c r="E44" s="57">
        <f t="shared" si="0"/>
        <v>10.25</v>
      </c>
      <c r="F44" s="58">
        <v>7.9</v>
      </c>
      <c r="G44" s="57">
        <f t="shared" si="1"/>
        <v>2.4067746839999997</v>
      </c>
    </row>
    <row r="45" spans="2:7" ht="15.75" x14ac:dyDescent="0.25">
      <c r="B45" s="55">
        <v>44235</v>
      </c>
      <c r="C45" s="83" t="s">
        <v>98</v>
      </c>
      <c r="D45" s="51">
        <v>0.5</v>
      </c>
      <c r="E45" s="57">
        <f t="shared" si="0"/>
        <v>10.25</v>
      </c>
      <c r="F45" s="58">
        <v>8</v>
      </c>
      <c r="G45" s="57">
        <f t="shared" si="1"/>
        <v>2.3043587400000001</v>
      </c>
    </row>
    <row r="46" spans="2:7" ht="15.75" x14ac:dyDescent="0.25">
      <c r="B46" s="55">
        <v>44235</v>
      </c>
      <c r="C46" s="83" t="s">
        <v>99</v>
      </c>
      <c r="D46" s="51">
        <v>0.5</v>
      </c>
      <c r="E46" s="57">
        <f t="shared" si="0"/>
        <v>10.25</v>
      </c>
      <c r="F46" s="58">
        <v>8.6</v>
      </c>
      <c r="G46" s="57">
        <f t="shared" si="1"/>
        <v>1.6898630760000004</v>
      </c>
    </row>
    <row r="47" spans="2:7" ht="15.75" x14ac:dyDescent="0.25">
      <c r="B47" s="55">
        <v>44235</v>
      </c>
      <c r="C47" s="83" t="s">
        <v>100</v>
      </c>
      <c r="D47" s="51">
        <v>0.5</v>
      </c>
      <c r="E47" s="57">
        <f t="shared" si="0"/>
        <v>10.25</v>
      </c>
      <c r="F47" s="58">
        <v>8.1999999999999993</v>
      </c>
      <c r="G47" s="57">
        <f t="shared" si="1"/>
        <v>2.0995268520000008</v>
      </c>
    </row>
    <row r="48" spans="2:7" ht="15.75" x14ac:dyDescent="0.25">
      <c r="B48" s="55">
        <v>44235</v>
      </c>
      <c r="C48" s="83" t="s">
        <v>101</v>
      </c>
      <c r="D48" s="51">
        <v>0.5</v>
      </c>
      <c r="E48" s="57">
        <f t="shared" si="0"/>
        <v>10.25</v>
      </c>
      <c r="F48" s="58">
        <v>8.1</v>
      </c>
      <c r="G48" s="57">
        <f t="shared" si="1"/>
        <v>2.201942796</v>
      </c>
    </row>
    <row r="49" spans="2:8" ht="15.75" x14ac:dyDescent="0.25">
      <c r="G49" s="57"/>
    </row>
    <row r="50" spans="2:8" ht="15.75" x14ac:dyDescent="0.25">
      <c r="G50" s="57"/>
    </row>
    <row r="51" spans="2:8" ht="15.75" x14ac:dyDescent="0.25">
      <c r="G51" s="57"/>
    </row>
    <row r="52" spans="2:8" ht="20.25" thickBot="1" x14ac:dyDescent="0.45">
      <c r="B52" s="40" t="s">
        <v>62</v>
      </c>
      <c r="C52" s="40" t="s">
        <v>62</v>
      </c>
      <c r="D52" s="41" t="s">
        <v>63</v>
      </c>
      <c r="E52" s="42"/>
      <c r="F52" s="43"/>
      <c r="G52" s="44" t="s">
        <v>64</v>
      </c>
      <c r="H52" s="45"/>
    </row>
    <row r="53" spans="2:8" ht="16.5" thickBot="1" x14ac:dyDescent="0.35">
      <c r="B53" s="46">
        <v>1.05</v>
      </c>
      <c r="C53" s="46">
        <v>1</v>
      </c>
      <c r="D53" s="47">
        <f>(B53+C53)/2</f>
        <v>1.0249999999999999</v>
      </c>
      <c r="E53" s="48"/>
      <c r="F53" s="48"/>
      <c r="G53" s="49">
        <f>(1*1)/D53</f>
        <v>0.97560975609756106</v>
      </c>
      <c r="H53" s="48"/>
    </row>
    <row r="54" spans="2:8" ht="16.5" thickBot="1" x14ac:dyDescent="0.3">
      <c r="B54" s="50" t="s">
        <v>65</v>
      </c>
      <c r="C54" s="76" t="s">
        <v>65</v>
      </c>
      <c r="D54" s="76" t="s">
        <v>65</v>
      </c>
      <c r="E54" s="51"/>
      <c r="F54" s="76" t="s">
        <v>66</v>
      </c>
      <c r="G54" s="76"/>
      <c r="H54" s="76"/>
    </row>
    <row r="55" spans="2:8" ht="16.5" thickBot="1" x14ac:dyDescent="0.35">
      <c r="B55" s="77">
        <v>10.9</v>
      </c>
      <c r="C55" s="77">
        <v>11.5</v>
      </c>
      <c r="D55" s="47"/>
      <c r="E55" s="52"/>
      <c r="F55" s="52"/>
      <c r="G55" s="53">
        <f>(B55+C55+D55)/2</f>
        <v>11.2</v>
      </c>
      <c r="H55" s="54"/>
    </row>
    <row r="56" spans="2:8" ht="15.75" x14ac:dyDescent="0.25">
      <c r="B56" s="55">
        <v>44236</v>
      </c>
      <c r="C56" s="56" t="s">
        <v>16</v>
      </c>
      <c r="D56" s="51">
        <v>0.5</v>
      </c>
      <c r="E56" s="57">
        <f>(G55)</f>
        <v>11.2</v>
      </c>
      <c r="F56" s="58">
        <v>3.8</v>
      </c>
      <c r="G56" s="59">
        <f>+((E56-F56)*G53*(0.5172)/D56)</f>
        <v>7.467863414634146</v>
      </c>
      <c r="H56" s="51" t="s">
        <v>67</v>
      </c>
    </row>
    <row r="57" spans="2:8" ht="15.75" x14ac:dyDescent="0.25">
      <c r="B57" s="55">
        <v>44236</v>
      </c>
      <c r="C57" s="56" t="s">
        <v>16</v>
      </c>
      <c r="D57" s="51">
        <v>0.5</v>
      </c>
      <c r="E57" s="57">
        <f>(G55)</f>
        <v>11.2</v>
      </c>
      <c r="F57" s="58">
        <v>8</v>
      </c>
      <c r="G57" s="59">
        <f>+((E57-F57)*G53*(0.5172)/D57)</f>
        <v>3.229346341463414</v>
      </c>
      <c r="H57" s="51" t="s">
        <v>68</v>
      </c>
    </row>
    <row r="58" spans="2:8" ht="15.75" x14ac:dyDescent="0.25">
      <c r="B58" s="55">
        <v>44236</v>
      </c>
      <c r="C58" s="51" t="s">
        <v>16</v>
      </c>
      <c r="D58" s="58">
        <v>1</v>
      </c>
      <c r="E58" s="57">
        <f>(G55)</f>
        <v>11.2</v>
      </c>
      <c r="F58" s="58">
        <v>8.6</v>
      </c>
      <c r="G58" s="59">
        <f>+((E58-F58)*G53*(0.5172)/D58)</f>
        <v>1.3119219512195122</v>
      </c>
      <c r="H58" s="51" t="s">
        <v>69</v>
      </c>
    </row>
    <row r="59" spans="2:8" ht="15.75" x14ac:dyDescent="0.25">
      <c r="B59" s="55">
        <v>44236</v>
      </c>
      <c r="C59" s="51" t="s">
        <v>16</v>
      </c>
      <c r="D59" s="58">
        <v>1</v>
      </c>
      <c r="E59" s="57">
        <v>11.2</v>
      </c>
      <c r="F59" s="58">
        <v>8.5</v>
      </c>
      <c r="G59" s="59">
        <f>+((E59-F59)*G53*(0.5172)/D59)</f>
        <v>1.362380487804878</v>
      </c>
      <c r="H59" s="51" t="s">
        <v>69</v>
      </c>
    </row>
    <row r="60" spans="2:8" ht="15.75" x14ac:dyDescent="0.25">
      <c r="B60" s="55">
        <v>44236</v>
      </c>
      <c r="C60" s="83" t="s">
        <v>102</v>
      </c>
      <c r="D60" s="51">
        <v>0.5</v>
      </c>
      <c r="E60" s="57">
        <v>11.2</v>
      </c>
      <c r="F60" s="58">
        <v>9.1999999999999993</v>
      </c>
      <c r="G60" s="57">
        <f>+((E60-F60)*0.9756*(0.5172)/D60)</f>
        <v>2.0183212799999999</v>
      </c>
    </row>
    <row r="61" spans="2:8" ht="15.75" x14ac:dyDescent="0.25">
      <c r="B61" s="55">
        <v>44236</v>
      </c>
      <c r="C61" s="83" t="s">
        <v>103</v>
      </c>
      <c r="D61" s="51">
        <v>0.5</v>
      </c>
      <c r="E61" s="57">
        <v>11.2</v>
      </c>
      <c r="F61" s="58">
        <v>8.8000000000000007</v>
      </c>
      <c r="G61" s="57">
        <f>+((E61-F61)*0.9756*(0.5172)/D61)</f>
        <v>2.4219855359999984</v>
      </c>
    </row>
    <row r="62" spans="2:8" ht="15.75" x14ac:dyDescent="0.25">
      <c r="B62" s="55">
        <v>44236</v>
      </c>
      <c r="C62" s="83" t="s">
        <v>104</v>
      </c>
      <c r="D62" s="51">
        <v>0.5</v>
      </c>
      <c r="E62" s="57">
        <v>11.2</v>
      </c>
      <c r="F62" s="58">
        <v>8.6999999999999993</v>
      </c>
      <c r="G62" s="57">
        <f t="shared" ref="G62:G95" si="2">+((E62-F62)*0.9756*(0.5172)/D62)</f>
        <v>2.5229016</v>
      </c>
    </row>
    <row r="63" spans="2:8" ht="15.75" x14ac:dyDescent="0.25">
      <c r="B63" s="55">
        <v>44236</v>
      </c>
      <c r="C63" s="83" t="s">
        <v>105</v>
      </c>
      <c r="D63" s="51">
        <v>0.5</v>
      </c>
      <c r="E63" s="57">
        <v>11.2</v>
      </c>
      <c r="F63" s="58">
        <v>9.6999999999999993</v>
      </c>
      <c r="G63" s="57">
        <f t="shared" si="2"/>
        <v>1.51374096</v>
      </c>
    </row>
    <row r="64" spans="2:8" ht="15.75" x14ac:dyDescent="0.25">
      <c r="B64" s="55">
        <v>44236</v>
      </c>
      <c r="C64" s="83" t="s">
        <v>106</v>
      </c>
      <c r="D64" s="51">
        <v>0.5</v>
      </c>
      <c r="E64" s="57">
        <v>11.2</v>
      </c>
      <c r="F64" s="58">
        <v>8.4</v>
      </c>
      <c r="G64" s="57">
        <f t="shared" si="2"/>
        <v>2.8256497919999988</v>
      </c>
    </row>
    <row r="65" spans="2:7" ht="15.75" x14ac:dyDescent="0.25">
      <c r="B65" s="55">
        <v>44236</v>
      </c>
      <c r="C65" s="83" t="s">
        <v>107</v>
      </c>
      <c r="D65" s="51">
        <v>0.5</v>
      </c>
      <c r="E65" s="57">
        <v>11.2</v>
      </c>
      <c r="F65" s="58">
        <v>9.4</v>
      </c>
      <c r="G65" s="57">
        <f t="shared" si="2"/>
        <v>1.8164891519999988</v>
      </c>
    </row>
    <row r="66" spans="2:7" ht="15.75" x14ac:dyDescent="0.25">
      <c r="B66" s="55">
        <v>44236</v>
      </c>
      <c r="C66" s="83" t="s">
        <v>108</v>
      </c>
      <c r="D66" s="51">
        <v>0.5</v>
      </c>
      <c r="E66" s="57">
        <v>11.2</v>
      </c>
      <c r="F66" s="58">
        <v>8.8000000000000007</v>
      </c>
      <c r="G66" s="57">
        <f t="shared" si="2"/>
        <v>2.4219855359999984</v>
      </c>
    </row>
    <row r="67" spans="2:7" ht="15.75" x14ac:dyDescent="0.25">
      <c r="B67" s="55">
        <v>44236</v>
      </c>
      <c r="C67" s="83" t="s">
        <v>109</v>
      </c>
      <c r="D67" s="51">
        <v>0.5</v>
      </c>
      <c r="E67" s="57">
        <v>11.2</v>
      </c>
      <c r="F67" s="58">
        <v>9.6999999999999993</v>
      </c>
      <c r="G67" s="57">
        <f t="shared" si="2"/>
        <v>1.51374096</v>
      </c>
    </row>
    <row r="68" spans="2:7" ht="15.75" x14ac:dyDescent="0.25">
      <c r="B68" s="55">
        <v>44236</v>
      </c>
      <c r="C68" s="83" t="s">
        <v>110</v>
      </c>
      <c r="D68" s="51">
        <v>0.5</v>
      </c>
      <c r="E68" s="57">
        <v>11.2</v>
      </c>
      <c r="F68" s="58">
        <v>7.3</v>
      </c>
      <c r="G68" s="57">
        <f t="shared" si="2"/>
        <v>3.9357264959999996</v>
      </c>
    </row>
    <row r="69" spans="2:7" ht="15.75" x14ac:dyDescent="0.25">
      <c r="B69" s="55">
        <v>44236</v>
      </c>
      <c r="C69" s="83" t="s">
        <v>111</v>
      </c>
      <c r="D69" s="51">
        <v>0.5</v>
      </c>
      <c r="E69" s="57">
        <v>11.2</v>
      </c>
      <c r="F69" s="58">
        <v>8.6</v>
      </c>
      <c r="G69" s="57">
        <f t="shared" si="2"/>
        <v>2.6238176639999997</v>
      </c>
    </row>
    <row r="70" spans="2:7" ht="15.75" x14ac:dyDescent="0.25">
      <c r="B70" s="55">
        <v>44236</v>
      </c>
      <c r="C70" s="83" t="s">
        <v>112</v>
      </c>
      <c r="D70" s="51">
        <v>0.5</v>
      </c>
      <c r="E70" s="57">
        <v>11.2</v>
      </c>
      <c r="F70" s="58">
        <v>9.3000000000000007</v>
      </c>
      <c r="G70" s="57">
        <f t="shared" si="2"/>
        <v>1.9174052159999986</v>
      </c>
    </row>
    <row r="71" spans="2:7" ht="15.75" x14ac:dyDescent="0.25">
      <c r="B71" s="55">
        <v>44236</v>
      </c>
      <c r="C71" s="83" t="s">
        <v>113</v>
      </c>
      <c r="D71" s="51">
        <v>0.5</v>
      </c>
      <c r="E71" s="57">
        <v>11.2</v>
      </c>
      <c r="F71" s="58">
        <v>9</v>
      </c>
      <c r="G71" s="57">
        <f t="shared" si="2"/>
        <v>2.2201534079999994</v>
      </c>
    </row>
    <row r="72" spans="2:7" ht="15.75" x14ac:dyDescent="0.25">
      <c r="B72" s="55">
        <v>44236</v>
      </c>
      <c r="C72" s="83" t="s">
        <v>114</v>
      </c>
      <c r="D72" s="51">
        <v>0.5</v>
      </c>
      <c r="E72" s="57">
        <v>11.2</v>
      </c>
      <c r="F72" s="58">
        <v>5.4</v>
      </c>
      <c r="G72" s="57">
        <f t="shared" si="2"/>
        <v>5.8531317119999988</v>
      </c>
    </row>
    <row r="73" spans="2:7" ht="15.75" x14ac:dyDescent="0.25">
      <c r="B73" s="55">
        <v>44236</v>
      </c>
      <c r="C73" s="83" t="s">
        <v>115</v>
      </c>
      <c r="D73" s="51">
        <v>0.5</v>
      </c>
      <c r="E73" s="57">
        <v>11.2</v>
      </c>
      <c r="F73" s="58">
        <v>9.4</v>
      </c>
      <c r="G73" s="57">
        <f t="shared" si="2"/>
        <v>1.8164891519999988</v>
      </c>
    </row>
    <row r="74" spans="2:7" ht="15.75" x14ac:dyDescent="0.25">
      <c r="B74" s="55">
        <v>44236</v>
      </c>
      <c r="C74" s="83" t="s">
        <v>116</v>
      </c>
      <c r="D74" s="51">
        <v>0.5</v>
      </c>
      <c r="E74" s="57">
        <v>11.2</v>
      </c>
      <c r="F74" s="58">
        <v>7.1</v>
      </c>
      <c r="G74" s="57">
        <f t="shared" si="2"/>
        <v>4.1375586239999995</v>
      </c>
    </row>
    <row r="75" spans="2:7" ht="15.75" x14ac:dyDescent="0.25">
      <c r="B75" s="55">
        <v>44236</v>
      </c>
      <c r="C75" s="83" t="s">
        <v>117</v>
      </c>
      <c r="D75" s="51">
        <v>0.5</v>
      </c>
      <c r="E75" s="57">
        <v>11.2</v>
      </c>
      <c r="F75" s="58">
        <v>9.5</v>
      </c>
      <c r="G75" s="57">
        <f t="shared" si="2"/>
        <v>1.7155730879999993</v>
      </c>
    </row>
    <row r="76" spans="2:7" ht="15.75" x14ac:dyDescent="0.25">
      <c r="B76" s="55">
        <v>44236</v>
      </c>
      <c r="C76" s="83" t="s">
        <v>118</v>
      </c>
      <c r="D76" s="51">
        <v>0.5</v>
      </c>
      <c r="E76" s="57">
        <v>11.2</v>
      </c>
      <c r="F76" s="58">
        <v>8.6999999999999993</v>
      </c>
      <c r="G76" s="57">
        <f t="shared" si="2"/>
        <v>2.5229016</v>
      </c>
    </row>
    <row r="77" spans="2:7" ht="15.75" x14ac:dyDescent="0.25">
      <c r="B77" s="55">
        <v>44236</v>
      </c>
      <c r="C77" s="83" t="s">
        <v>119</v>
      </c>
      <c r="D77" s="51">
        <v>0.5</v>
      </c>
      <c r="E77" s="57">
        <v>11.2</v>
      </c>
      <c r="F77" s="58">
        <v>8.1999999999999993</v>
      </c>
      <c r="G77" s="57">
        <f t="shared" si="2"/>
        <v>3.02748192</v>
      </c>
    </row>
    <row r="78" spans="2:7" ht="15.75" x14ac:dyDescent="0.25">
      <c r="B78" s="55">
        <v>44236</v>
      </c>
      <c r="C78" s="83" t="s">
        <v>120</v>
      </c>
      <c r="D78" s="51">
        <v>0.5</v>
      </c>
      <c r="E78" s="57">
        <v>11.2</v>
      </c>
      <c r="F78" s="58">
        <v>9.9</v>
      </c>
      <c r="G78" s="57">
        <f t="shared" si="2"/>
        <v>1.311908831999999</v>
      </c>
    </row>
    <row r="79" spans="2:7" ht="15.75" x14ac:dyDescent="0.25">
      <c r="B79" s="55">
        <v>44236</v>
      </c>
      <c r="C79" s="83" t="s">
        <v>121</v>
      </c>
      <c r="D79" s="51">
        <v>0.5</v>
      </c>
      <c r="E79" s="57">
        <v>11.2</v>
      </c>
      <c r="F79" s="58">
        <v>10</v>
      </c>
      <c r="G79" s="57">
        <f t="shared" si="2"/>
        <v>1.2109927679999992</v>
      </c>
    </row>
    <row r="80" spans="2:7" ht="15.75" x14ac:dyDescent="0.25">
      <c r="B80" s="55">
        <v>44236</v>
      </c>
      <c r="C80" s="83" t="s">
        <v>122</v>
      </c>
      <c r="D80" s="51">
        <v>0.5</v>
      </c>
      <c r="E80" s="57">
        <v>11.2</v>
      </c>
      <c r="F80" s="58">
        <v>9.3000000000000007</v>
      </c>
      <c r="G80" s="57">
        <f t="shared" si="2"/>
        <v>1.9174052159999986</v>
      </c>
    </row>
    <row r="81" spans="2:7" ht="15.75" x14ac:dyDescent="0.25">
      <c r="B81" s="55">
        <v>44236</v>
      </c>
      <c r="C81" s="83" t="s">
        <v>123</v>
      </c>
      <c r="D81" s="51">
        <v>0.5</v>
      </c>
      <c r="E81" s="57">
        <v>11.2</v>
      </c>
      <c r="F81" s="58">
        <v>5.3</v>
      </c>
      <c r="G81" s="57">
        <f t="shared" si="2"/>
        <v>5.9540477759999995</v>
      </c>
    </row>
    <row r="82" spans="2:7" ht="15.75" x14ac:dyDescent="0.25">
      <c r="B82" s="55">
        <v>44236</v>
      </c>
      <c r="C82" s="83" t="s">
        <v>124</v>
      </c>
      <c r="D82" s="51">
        <v>0.5</v>
      </c>
      <c r="E82" s="57">
        <v>11.2</v>
      </c>
      <c r="F82" s="58">
        <v>6.7</v>
      </c>
      <c r="G82" s="57">
        <f t="shared" si="2"/>
        <v>4.5412228799999994</v>
      </c>
    </row>
    <row r="83" spans="2:7" ht="15.75" x14ac:dyDescent="0.25">
      <c r="B83" s="55">
        <v>44236</v>
      </c>
      <c r="C83" s="83" t="s">
        <v>125</v>
      </c>
      <c r="D83" s="51">
        <v>0.5</v>
      </c>
      <c r="E83" s="57">
        <v>11.2</v>
      </c>
      <c r="F83" s="58">
        <v>8.8000000000000007</v>
      </c>
      <c r="G83" s="57">
        <f t="shared" si="2"/>
        <v>2.4219855359999984</v>
      </c>
    </row>
    <row r="84" spans="2:7" ht="15.75" x14ac:dyDescent="0.25">
      <c r="B84" s="55">
        <v>44236</v>
      </c>
      <c r="C84" s="83" t="s">
        <v>126</v>
      </c>
      <c r="D84" s="51">
        <v>0.5</v>
      </c>
      <c r="E84" s="57">
        <v>11.2</v>
      </c>
      <c r="F84" s="58">
        <v>10</v>
      </c>
      <c r="G84" s="57">
        <f t="shared" si="2"/>
        <v>1.2109927679999992</v>
      </c>
    </row>
    <row r="85" spans="2:7" ht="15.75" x14ac:dyDescent="0.25">
      <c r="B85" s="55">
        <v>44236</v>
      </c>
      <c r="C85" s="83" t="s">
        <v>127</v>
      </c>
      <c r="D85" s="51">
        <v>0.5</v>
      </c>
      <c r="E85" s="57">
        <v>11.2</v>
      </c>
      <c r="F85" s="58">
        <v>9</v>
      </c>
      <c r="G85" s="57">
        <f t="shared" si="2"/>
        <v>2.2201534079999994</v>
      </c>
    </row>
    <row r="86" spans="2:7" ht="15.75" x14ac:dyDescent="0.25">
      <c r="B86" s="55">
        <v>44236</v>
      </c>
      <c r="C86" s="83" t="s">
        <v>128</v>
      </c>
      <c r="D86" s="51">
        <v>0.5</v>
      </c>
      <c r="E86" s="57">
        <v>11.2</v>
      </c>
      <c r="F86" s="58">
        <v>9.1</v>
      </c>
      <c r="G86" s="57">
        <f t="shared" si="2"/>
        <v>2.1192373439999996</v>
      </c>
    </row>
    <row r="87" spans="2:7" ht="15.75" x14ac:dyDescent="0.25">
      <c r="B87" s="55">
        <v>44236</v>
      </c>
      <c r="C87" s="83" t="s">
        <v>129</v>
      </c>
      <c r="D87" s="51">
        <v>0.5</v>
      </c>
      <c r="E87" s="57">
        <v>11.2</v>
      </c>
      <c r="F87" s="58">
        <v>9.5</v>
      </c>
      <c r="G87" s="57">
        <f t="shared" si="2"/>
        <v>1.7155730879999993</v>
      </c>
    </row>
    <row r="88" spans="2:7" ht="15.75" x14ac:dyDescent="0.25">
      <c r="B88" s="55">
        <v>44236</v>
      </c>
      <c r="C88" s="83" t="s">
        <v>130</v>
      </c>
      <c r="D88" s="51">
        <v>0.5</v>
      </c>
      <c r="E88" s="57">
        <v>11.2</v>
      </c>
      <c r="F88" s="58">
        <v>8.6999999999999993</v>
      </c>
      <c r="G88" s="57">
        <f t="shared" si="2"/>
        <v>2.5229016</v>
      </c>
    </row>
    <row r="89" spans="2:7" ht="15.75" x14ac:dyDescent="0.25">
      <c r="B89" s="55">
        <v>44236</v>
      </c>
      <c r="C89" s="83" t="s">
        <v>131</v>
      </c>
      <c r="D89" s="51">
        <v>0.5</v>
      </c>
      <c r="E89" s="57">
        <v>11.2</v>
      </c>
      <c r="F89" s="58">
        <v>9.8000000000000007</v>
      </c>
      <c r="G89" s="57">
        <f t="shared" si="2"/>
        <v>1.4128248959999985</v>
      </c>
    </row>
    <row r="90" spans="2:7" ht="15.75" x14ac:dyDescent="0.25">
      <c r="B90" s="55">
        <v>44236</v>
      </c>
      <c r="C90" s="83" t="s">
        <v>132</v>
      </c>
      <c r="D90" s="51">
        <v>0.5</v>
      </c>
      <c r="E90" s="57">
        <v>11.2</v>
      </c>
      <c r="F90" s="58">
        <v>8.3000000000000007</v>
      </c>
      <c r="G90" s="57">
        <f t="shared" si="2"/>
        <v>2.9265658559999985</v>
      </c>
    </row>
    <row r="91" spans="2:7" ht="15.75" x14ac:dyDescent="0.25">
      <c r="B91" s="55">
        <v>44236</v>
      </c>
      <c r="C91" s="83" t="s">
        <v>133</v>
      </c>
      <c r="D91" s="51">
        <v>0.5</v>
      </c>
      <c r="E91" s="57">
        <v>11.2</v>
      </c>
      <c r="F91" s="58">
        <v>9.4</v>
      </c>
      <c r="G91" s="57">
        <f t="shared" si="2"/>
        <v>1.8164891519999988</v>
      </c>
    </row>
    <row r="92" spans="2:7" ht="15.75" x14ac:dyDescent="0.25">
      <c r="B92" s="55">
        <v>44236</v>
      </c>
      <c r="C92" s="83" t="s">
        <v>134</v>
      </c>
      <c r="D92" s="51">
        <v>0.5</v>
      </c>
      <c r="E92" s="57">
        <v>11.2</v>
      </c>
      <c r="F92" s="58">
        <v>8.8000000000000007</v>
      </c>
      <c r="G92" s="57">
        <f t="shared" si="2"/>
        <v>2.4219855359999984</v>
      </c>
    </row>
    <row r="93" spans="2:7" ht="15.75" x14ac:dyDescent="0.25">
      <c r="B93" s="55">
        <v>44236</v>
      </c>
      <c r="C93" s="83" t="s">
        <v>135</v>
      </c>
      <c r="D93" s="51">
        <v>0.5</v>
      </c>
      <c r="E93" s="57">
        <v>11.2</v>
      </c>
      <c r="F93" s="58">
        <v>8.9</v>
      </c>
      <c r="G93" s="57">
        <f t="shared" si="2"/>
        <v>2.3210694719999991</v>
      </c>
    </row>
    <row r="94" spans="2:7" ht="15.75" x14ac:dyDescent="0.25">
      <c r="B94" s="55">
        <v>44236</v>
      </c>
      <c r="C94" s="83" t="s">
        <v>136</v>
      </c>
      <c r="D94" s="51">
        <v>0.5</v>
      </c>
      <c r="E94" s="57">
        <v>11.2</v>
      </c>
      <c r="F94" s="58">
        <v>7.9</v>
      </c>
      <c r="G94" s="57">
        <f t="shared" si="2"/>
        <v>3.3302301119999989</v>
      </c>
    </row>
    <row r="95" spans="2:7" ht="15.75" x14ac:dyDescent="0.25">
      <c r="B95" s="55">
        <v>44236</v>
      </c>
      <c r="C95" s="83" t="s">
        <v>137</v>
      </c>
      <c r="D95" s="51">
        <v>0.5</v>
      </c>
      <c r="E95" s="57">
        <v>11.2</v>
      </c>
      <c r="F95" s="58">
        <v>4.4000000000000004</v>
      </c>
      <c r="G95" s="57">
        <f t="shared" si="2"/>
        <v>6.862292351999999</v>
      </c>
    </row>
    <row r="96" spans="2:7" ht="15.75" x14ac:dyDescent="0.25">
      <c r="G96" s="57"/>
    </row>
    <row r="97" spans="2:8" ht="20.25" thickBot="1" x14ac:dyDescent="0.45">
      <c r="B97" s="40" t="s">
        <v>62</v>
      </c>
      <c r="C97" s="40" t="s">
        <v>62</v>
      </c>
      <c r="D97" s="41" t="s">
        <v>63</v>
      </c>
      <c r="E97" s="42"/>
      <c r="F97" s="43"/>
      <c r="G97" s="44" t="s">
        <v>64</v>
      </c>
      <c r="H97" s="45"/>
    </row>
    <row r="98" spans="2:8" ht="16.5" thickBot="1" x14ac:dyDescent="0.35">
      <c r="B98" s="46">
        <v>1.02</v>
      </c>
      <c r="C98" s="46">
        <v>0.98</v>
      </c>
      <c r="D98" s="47">
        <f>(B98+C98)/2</f>
        <v>1</v>
      </c>
      <c r="E98" s="48"/>
      <c r="F98" s="48"/>
      <c r="G98" s="49">
        <f>(1*1)/D98</f>
        <v>1</v>
      </c>
      <c r="H98" s="48"/>
    </row>
    <row r="99" spans="2:8" ht="16.5" thickBot="1" x14ac:dyDescent="0.3">
      <c r="B99" s="50" t="s">
        <v>65</v>
      </c>
      <c r="C99" s="76" t="s">
        <v>65</v>
      </c>
      <c r="D99" s="76" t="s">
        <v>65</v>
      </c>
      <c r="E99" s="51"/>
      <c r="F99" s="76" t="s">
        <v>66</v>
      </c>
      <c r="G99" s="76"/>
      <c r="H99" s="76"/>
    </row>
    <row r="100" spans="2:8" ht="16.5" thickBot="1" x14ac:dyDescent="0.35">
      <c r="B100" s="77">
        <v>10.6</v>
      </c>
      <c r="C100" s="77">
        <v>10.5</v>
      </c>
      <c r="D100" s="47"/>
      <c r="E100" s="52"/>
      <c r="F100" s="52"/>
      <c r="G100" s="53">
        <f>(B100+C100+D100)/2</f>
        <v>10.55</v>
      </c>
      <c r="H100" s="54"/>
    </row>
    <row r="101" spans="2:8" ht="15.75" x14ac:dyDescent="0.25">
      <c r="B101" s="55">
        <v>44305</v>
      </c>
      <c r="C101" s="56" t="s">
        <v>16</v>
      </c>
      <c r="D101" s="51">
        <v>0.5</v>
      </c>
      <c r="E101" s="57">
        <f>(G100)</f>
        <v>10.55</v>
      </c>
      <c r="F101" s="58">
        <v>3.1</v>
      </c>
      <c r="G101" s="59">
        <f>+((E101-F101)*G98*(0.5172)/D101)</f>
        <v>7.7062800000000014</v>
      </c>
      <c r="H101" s="51" t="s">
        <v>67</v>
      </c>
    </row>
    <row r="102" spans="2:8" ht="15.75" x14ac:dyDescent="0.25">
      <c r="B102" s="55">
        <v>44305</v>
      </c>
      <c r="C102" s="56" t="s">
        <v>16</v>
      </c>
      <c r="D102" s="51">
        <v>0.5</v>
      </c>
      <c r="E102" s="57">
        <f>(G100)</f>
        <v>10.55</v>
      </c>
      <c r="F102" s="58">
        <v>6.9</v>
      </c>
      <c r="G102" s="85">
        <f>+((E102-F102)*G98*(0.5172)/D102)</f>
        <v>3.7755600000000005</v>
      </c>
      <c r="H102" s="51" t="s">
        <v>68</v>
      </c>
    </row>
    <row r="103" spans="2:8" ht="15.75" x14ac:dyDescent="0.25">
      <c r="B103" s="55">
        <v>44305</v>
      </c>
      <c r="C103" s="51" t="s">
        <v>16</v>
      </c>
      <c r="D103" s="58">
        <v>1</v>
      </c>
      <c r="E103" s="57">
        <f>(G100)</f>
        <v>10.55</v>
      </c>
      <c r="F103" s="58">
        <v>8.3000000000000007</v>
      </c>
      <c r="G103" s="59">
        <f>+((E103-F103)*G98*(0.5172)/D103)</f>
        <v>1.1637</v>
      </c>
      <c r="H103" s="51" t="s">
        <v>69</v>
      </c>
    </row>
    <row r="104" spans="2:8" ht="15.75" x14ac:dyDescent="0.25">
      <c r="B104" s="55">
        <v>44305</v>
      </c>
      <c r="C104" s="51" t="s">
        <v>16</v>
      </c>
      <c r="D104" s="58">
        <v>1</v>
      </c>
      <c r="E104" s="57">
        <f>(G100)</f>
        <v>10.55</v>
      </c>
      <c r="F104" s="58">
        <v>7.9</v>
      </c>
      <c r="G104" s="59">
        <f>+((E104-F104)*G98*(0.5172)/D104)</f>
        <v>1.3705800000000001</v>
      </c>
      <c r="H104" s="51" t="s">
        <v>69</v>
      </c>
    </row>
    <row r="105" spans="2:8" ht="15.75" x14ac:dyDescent="0.25">
      <c r="B105" s="55">
        <v>44305</v>
      </c>
      <c r="C105" s="69" t="s">
        <v>138</v>
      </c>
      <c r="D105" s="51">
        <v>0.5</v>
      </c>
      <c r="E105" s="57">
        <f>(G100)</f>
        <v>10.55</v>
      </c>
      <c r="F105" s="58">
        <v>5.6</v>
      </c>
      <c r="G105" s="57">
        <f>+((E105-F105)*1*(0.5172)/D105)</f>
        <v>5.1202800000000011</v>
      </c>
      <c r="H105" s="51"/>
    </row>
    <row r="106" spans="2:8" ht="15.75" x14ac:dyDescent="0.25">
      <c r="B106" s="55">
        <v>44305</v>
      </c>
      <c r="C106" s="69" t="s">
        <v>139</v>
      </c>
      <c r="D106" s="51">
        <v>0.5</v>
      </c>
      <c r="E106" s="57">
        <f>(G100)</f>
        <v>10.55</v>
      </c>
      <c r="F106" s="58">
        <v>8.3000000000000007</v>
      </c>
      <c r="G106" s="57">
        <f>+((E106-F106)*1*(0.5172)/D106)</f>
        <v>2.3273999999999999</v>
      </c>
      <c r="H106" s="51"/>
    </row>
    <row r="107" spans="2:8" ht="15.75" x14ac:dyDescent="0.25">
      <c r="B107" s="55">
        <v>44305</v>
      </c>
      <c r="C107" s="69" t="s">
        <v>140</v>
      </c>
      <c r="D107" s="51">
        <v>0.5</v>
      </c>
      <c r="E107" s="57">
        <f>(G100)</f>
        <v>10.55</v>
      </c>
      <c r="F107" s="58">
        <v>9.5</v>
      </c>
      <c r="G107" s="57">
        <f t="shared" ref="G107:G110" si="3">+((E107-F107)*1*(0.5172)/D107)</f>
        <v>1.0861200000000006</v>
      </c>
      <c r="H107" s="86"/>
    </row>
    <row r="108" spans="2:8" ht="15.75" x14ac:dyDescent="0.25">
      <c r="B108" s="55">
        <v>44305</v>
      </c>
      <c r="C108" s="69" t="s">
        <v>141</v>
      </c>
      <c r="D108" s="51">
        <v>0.5</v>
      </c>
      <c r="E108" s="57">
        <f>(G100)</f>
        <v>10.55</v>
      </c>
      <c r="F108" s="58">
        <v>5.5</v>
      </c>
      <c r="G108" s="57">
        <f t="shared" si="3"/>
        <v>5.223720000000001</v>
      </c>
      <c r="H108" s="86"/>
    </row>
    <row r="109" spans="2:8" ht="15.75" x14ac:dyDescent="0.25">
      <c r="B109" s="55">
        <v>44305</v>
      </c>
      <c r="C109" s="69" t="s">
        <v>142</v>
      </c>
      <c r="D109" s="51">
        <v>0.5</v>
      </c>
      <c r="E109" s="57">
        <f>(G100)</f>
        <v>10.55</v>
      </c>
      <c r="F109" s="58">
        <v>6.8</v>
      </c>
      <c r="G109" s="57">
        <f t="shared" si="3"/>
        <v>3.8790000000000009</v>
      </c>
      <c r="H109" s="86"/>
    </row>
    <row r="110" spans="2:8" ht="15.75" x14ac:dyDescent="0.25">
      <c r="B110" s="55">
        <v>44305</v>
      </c>
      <c r="C110" s="69" t="s">
        <v>143</v>
      </c>
      <c r="D110" s="51">
        <v>0.5</v>
      </c>
      <c r="E110" s="57">
        <f>(G100)</f>
        <v>10.55</v>
      </c>
      <c r="F110" s="58">
        <v>9.6999999999999993</v>
      </c>
      <c r="G110" s="57">
        <f t="shared" si="3"/>
        <v>0.87924000000000146</v>
      </c>
      <c r="H110" s="86"/>
    </row>
    <row r="111" spans="2:8" ht="15.75" x14ac:dyDescent="0.25">
      <c r="G111" s="57"/>
    </row>
    <row r="112" spans="2:8" ht="15.75" x14ac:dyDescent="0.25">
      <c r="G112" s="57"/>
    </row>
    <row r="113" spans="2:8" ht="20.25" thickBot="1" x14ac:dyDescent="0.45">
      <c r="B113" s="40" t="s">
        <v>62</v>
      </c>
      <c r="C113" s="40" t="s">
        <v>62</v>
      </c>
      <c r="D113" s="41" t="s">
        <v>63</v>
      </c>
      <c r="E113" s="42"/>
      <c r="F113" s="43"/>
      <c r="G113" s="44" t="s">
        <v>64</v>
      </c>
      <c r="H113" s="45"/>
    </row>
    <row r="114" spans="2:8" ht="16.5" thickBot="1" x14ac:dyDescent="0.35">
      <c r="B114" s="46">
        <v>1.02</v>
      </c>
      <c r="C114" s="46">
        <v>1</v>
      </c>
      <c r="D114" s="47">
        <f>(B114+C114)/2</f>
        <v>1.01</v>
      </c>
      <c r="E114" s="48"/>
      <c r="F114" s="48"/>
      <c r="G114" s="49">
        <f>(1*1)/D114</f>
        <v>0.99009900990099009</v>
      </c>
      <c r="H114" s="48"/>
    </row>
    <row r="115" spans="2:8" ht="16.5" thickBot="1" x14ac:dyDescent="0.3">
      <c r="B115" s="50" t="s">
        <v>65</v>
      </c>
      <c r="C115" s="76" t="s">
        <v>65</v>
      </c>
      <c r="D115" s="76" t="s">
        <v>65</v>
      </c>
      <c r="E115" s="51"/>
      <c r="F115" s="76" t="s">
        <v>66</v>
      </c>
      <c r="G115" s="76"/>
      <c r="H115" s="76"/>
    </row>
    <row r="116" spans="2:8" ht="16.5" thickBot="1" x14ac:dyDescent="0.35">
      <c r="B116" s="77">
        <v>10.6</v>
      </c>
      <c r="C116" s="77">
        <v>10.7</v>
      </c>
      <c r="D116" s="47"/>
      <c r="E116" s="52"/>
      <c r="F116" s="52"/>
      <c r="G116" s="53">
        <f>(B116+C116+D116)/2</f>
        <v>10.649999999999999</v>
      </c>
      <c r="H116" s="54"/>
    </row>
    <row r="117" spans="2:8" ht="15.75" x14ac:dyDescent="0.25">
      <c r="B117" s="55">
        <v>44321</v>
      </c>
      <c r="C117" s="56" t="s">
        <v>16</v>
      </c>
      <c r="D117" s="51">
        <v>0.5</v>
      </c>
      <c r="E117" s="57">
        <f>(G116)</f>
        <v>10.649999999999999</v>
      </c>
      <c r="F117" s="58">
        <v>3.6</v>
      </c>
      <c r="G117" s="59">
        <f>+((E117-F117)*G114*(0.5172)/D117)</f>
        <v>7.2203168316831672</v>
      </c>
      <c r="H117" s="51" t="s">
        <v>67</v>
      </c>
    </row>
    <row r="118" spans="2:8" ht="15.75" x14ac:dyDescent="0.25">
      <c r="B118" s="55">
        <v>44321</v>
      </c>
      <c r="C118" s="56" t="s">
        <v>16</v>
      </c>
      <c r="D118" s="51">
        <v>0.5</v>
      </c>
      <c r="E118" s="57">
        <f>(G116)</f>
        <v>10.649999999999999</v>
      </c>
      <c r="F118" s="58">
        <v>7.6</v>
      </c>
      <c r="G118" s="85">
        <f>+((E118-F118)*G114*(0.5172)/D118)</f>
        <v>3.1236831683168309</v>
      </c>
      <c r="H118" s="51" t="s">
        <v>68</v>
      </c>
    </row>
    <row r="119" spans="2:8" ht="15.75" x14ac:dyDescent="0.25">
      <c r="B119" s="55">
        <v>44321</v>
      </c>
      <c r="C119" s="51" t="s">
        <v>16</v>
      </c>
      <c r="D119" s="58">
        <v>1</v>
      </c>
      <c r="E119" s="57">
        <f>(G116)</f>
        <v>10.649999999999999</v>
      </c>
      <c r="F119" s="58">
        <v>8.4</v>
      </c>
      <c r="G119" s="59">
        <f>+((E119-F119)*G114*(0.5172)/D119)</f>
        <v>1.1521782178217814</v>
      </c>
      <c r="H119" s="51" t="s">
        <v>69</v>
      </c>
    </row>
    <row r="120" spans="2:8" ht="15.75" x14ac:dyDescent="0.25">
      <c r="B120" s="55">
        <v>44321</v>
      </c>
      <c r="C120" s="51" t="s">
        <v>16</v>
      </c>
      <c r="D120" s="58">
        <v>1</v>
      </c>
      <c r="E120" s="57">
        <f>(G116)</f>
        <v>10.649999999999999</v>
      </c>
      <c r="F120" s="58">
        <v>8.6999999999999993</v>
      </c>
      <c r="G120" s="85">
        <f>+((E120-F120)*G114*(0.5172)/D120)</f>
        <v>0.99855445544554422</v>
      </c>
      <c r="H120" s="51" t="s">
        <v>69</v>
      </c>
    </row>
    <row r="121" spans="2:8" ht="15.75" x14ac:dyDescent="0.25">
      <c r="C121" s="83" t="s">
        <v>144</v>
      </c>
      <c r="D121" s="51">
        <v>0.5</v>
      </c>
      <c r="E121" s="12">
        <v>10.65</v>
      </c>
      <c r="F121" s="58">
        <v>8.6</v>
      </c>
      <c r="G121" s="57">
        <f>+((E121-F121)*0.9901*(0.5172)/D121)</f>
        <v>2.0995268520000008</v>
      </c>
    </row>
    <row r="122" spans="2:8" ht="15.75" x14ac:dyDescent="0.25">
      <c r="C122" s="83" t="s">
        <v>145</v>
      </c>
      <c r="D122" s="51">
        <v>0.5</v>
      </c>
      <c r="E122" s="12">
        <v>10.65</v>
      </c>
      <c r="F122" s="58">
        <v>1</v>
      </c>
      <c r="G122" s="57">
        <f>+((E122-F122)*0.9901*(0.5172)/D122)</f>
        <v>9.8831385960000002</v>
      </c>
    </row>
    <row r="123" spans="2:8" ht="15.75" x14ac:dyDescent="0.25">
      <c r="C123" s="83" t="s">
        <v>146</v>
      </c>
      <c r="D123" s="51">
        <v>0.5</v>
      </c>
      <c r="E123" s="12">
        <v>10.65</v>
      </c>
      <c r="F123" s="58">
        <v>9</v>
      </c>
      <c r="G123" s="57">
        <f t="shared" ref="G123:G144" si="4">+((E123-F123)*0.9901*(0.5172)/D123)</f>
        <v>1.6898630760000004</v>
      </c>
    </row>
    <row r="124" spans="2:8" ht="15.75" x14ac:dyDescent="0.25">
      <c r="C124" s="83" t="s">
        <v>147</v>
      </c>
      <c r="D124" s="51">
        <v>0.5</v>
      </c>
      <c r="E124" s="12">
        <v>10.65</v>
      </c>
      <c r="F124" s="58">
        <v>8.1999999999999993</v>
      </c>
      <c r="G124" s="57">
        <f t="shared" si="4"/>
        <v>2.5091906280000011</v>
      </c>
    </row>
    <row r="125" spans="2:8" ht="15.75" x14ac:dyDescent="0.25">
      <c r="C125" s="83" t="s">
        <v>148</v>
      </c>
      <c r="D125" s="51">
        <v>0.5</v>
      </c>
      <c r="E125" s="12">
        <v>10.65</v>
      </c>
      <c r="F125" s="58">
        <v>10.1</v>
      </c>
      <c r="G125" s="57">
        <f t="shared" si="4"/>
        <v>0.56328769200000073</v>
      </c>
    </row>
    <row r="126" spans="2:8" ht="15.75" x14ac:dyDescent="0.25">
      <c r="C126" s="83" t="s">
        <v>149</v>
      </c>
      <c r="D126" s="51">
        <v>0.5</v>
      </c>
      <c r="E126" s="12">
        <v>10.65</v>
      </c>
      <c r="F126" s="58">
        <v>7.5</v>
      </c>
      <c r="G126" s="57">
        <f t="shared" si="4"/>
        <v>3.226102236</v>
      </c>
    </row>
    <row r="127" spans="2:8" ht="15.75" x14ac:dyDescent="0.25">
      <c r="C127" s="83" t="s">
        <v>150</v>
      </c>
      <c r="D127" s="51">
        <v>0.5</v>
      </c>
      <c r="E127" s="12">
        <v>10.65</v>
      </c>
      <c r="F127" s="58">
        <v>9.5</v>
      </c>
      <c r="G127" s="57">
        <f t="shared" si="4"/>
        <v>1.1777833560000004</v>
      </c>
    </row>
    <row r="128" spans="2:8" ht="15.75" x14ac:dyDescent="0.25">
      <c r="C128" s="83" t="s">
        <v>151</v>
      </c>
      <c r="D128" s="51">
        <v>0.5</v>
      </c>
      <c r="E128" s="12">
        <v>10.65</v>
      </c>
      <c r="F128" s="58">
        <v>9.1999999999999993</v>
      </c>
      <c r="G128" s="57">
        <f t="shared" si="4"/>
        <v>1.4850311880000009</v>
      </c>
    </row>
    <row r="129" spans="3:8" ht="15.75" x14ac:dyDescent="0.25">
      <c r="C129" s="83" t="s">
        <v>152</v>
      </c>
      <c r="D129" s="51">
        <v>0.5</v>
      </c>
      <c r="E129" s="12">
        <v>10.65</v>
      </c>
      <c r="F129" s="58">
        <v>10.4</v>
      </c>
      <c r="G129" s="57">
        <f t="shared" si="4"/>
        <v>0.25603986000000001</v>
      </c>
    </row>
    <row r="130" spans="3:8" ht="15.75" x14ac:dyDescent="0.25">
      <c r="C130" s="83" t="s">
        <v>153</v>
      </c>
      <c r="D130" s="51">
        <v>0.5</v>
      </c>
      <c r="E130" s="12">
        <v>10.65</v>
      </c>
      <c r="F130" s="58">
        <v>7.1</v>
      </c>
      <c r="G130" s="57">
        <f t="shared" si="4"/>
        <v>3.6357660120000008</v>
      </c>
    </row>
    <row r="131" spans="3:8" ht="15.75" x14ac:dyDescent="0.25">
      <c r="C131" s="83" t="s">
        <v>154</v>
      </c>
      <c r="D131" s="51">
        <v>0.5</v>
      </c>
      <c r="E131" s="12">
        <v>10.65</v>
      </c>
      <c r="F131" s="58">
        <v>9.9</v>
      </c>
      <c r="G131" s="57">
        <f t="shared" si="4"/>
        <v>0.76811958000000002</v>
      </c>
    </row>
    <row r="132" spans="3:8" ht="15.75" x14ac:dyDescent="0.25">
      <c r="C132" s="83" t="s">
        <v>155</v>
      </c>
      <c r="D132" s="51">
        <v>0.5</v>
      </c>
      <c r="E132" s="12">
        <v>10.65</v>
      </c>
      <c r="F132" s="58">
        <v>6.3</v>
      </c>
      <c r="G132" s="57">
        <f t="shared" si="4"/>
        <v>4.4550935640000002</v>
      </c>
    </row>
    <row r="133" spans="3:8" ht="15.75" x14ac:dyDescent="0.25">
      <c r="C133" s="83" t="s">
        <v>156</v>
      </c>
      <c r="D133" s="51">
        <v>0.5</v>
      </c>
      <c r="E133" s="12">
        <v>10.65</v>
      </c>
      <c r="F133" s="58">
        <v>4</v>
      </c>
      <c r="G133" s="57">
        <f t="shared" si="4"/>
        <v>6.8106602760000001</v>
      </c>
    </row>
    <row r="134" spans="3:8" ht="15.75" x14ac:dyDescent="0.25">
      <c r="C134" s="83" t="s">
        <v>157</v>
      </c>
      <c r="D134" s="51">
        <v>0.5</v>
      </c>
      <c r="E134" s="12">
        <v>10.65</v>
      </c>
      <c r="F134" s="58">
        <v>5.2</v>
      </c>
      <c r="G134" s="57">
        <f t="shared" si="4"/>
        <v>5.5816689479999999</v>
      </c>
    </row>
    <row r="135" spans="3:8" ht="15.75" x14ac:dyDescent="0.25">
      <c r="C135" s="83" t="s">
        <v>158</v>
      </c>
      <c r="D135" s="51">
        <v>0.5</v>
      </c>
      <c r="E135" s="12">
        <v>10.65</v>
      </c>
      <c r="F135" s="58">
        <v>7.5</v>
      </c>
      <c r="G135" s="57">
        <f t="shared" si="4"/>
        <v>3.226102236</v>
      </c>
    </row>
    <row r="136" spans="3:8" ht="15.75" x14ac:dyDescent="0.25">
      <c r="C136" s="83" t="s">
        <v>159</v>
      </c>
      <c r="D136" s="51">
        <v>0.5</v>
      </c>
      <c r="E136" s="12">
        <v>10.65</v>
      </c>
      <c r="F136" s="58">
        <v>4.4000000000000004</v>
      </c>
      <c r="G136" s="57">
        <f t="shared" si="4"/>
        <v>6.4009964999999998</v>
      </c>
    </row>
    <row r="137" spans="3:8" ht="15.75" x14ac:dyDescent="0.25">
      <c r="C137" s="83" t="s">
        <v>160</v>
      </c>
      <c r="D137" s="51">
        <v>0.5</v>
      </c>
      <c r="E137" s="12">
        <v>10.65</v>
      </c>
      <c r="F137" s="58">
        <v>8.3000000000000007</v>
      </c>
      <c r="G137" s="57">
        <f t="shared" si="4"/>
        <v>2.4067746839999997</v>
      </c>
    </row>
    <row r="138" spans="3:8" ht="15.75" x14ac:dyDescent="0.25">
      <c r="C138" s="83" t="s">
        <v>161</v>
      </c>
      <c r="D138" s="51">
        <v>0.5</v>
      </c>
      <c r="E138" s="12">
        <v>10.65</v>
      </c>
      <c r="F138" s="58">
        <v>4.8</v>
      </c>
      <c r="G138" s="57">
        <f t="shared" si="4"/>
        <v>5.9913327240000003</v>
      </c>
    </row>
    <row r="139" spans="3:8" ht="15.75" x14ac:dyDescent="0.25">
      <c r="C139" s="83" t="s">
        <v>162</v>
      </c>
      <c r="D139" s="51">
        <v>0.5</v>
      </c>
      <c r="E139" s="12">
        <v>10.65</v>
      </c>
      <c r="F139" s="58">
        <v>8.8000000000000007</v>
      </c>
      <c r="G139" s="57">
        <f t="shared" si="4"/>
        <v>1.8946949639999995</v>
      </c>
    </row>
    <row r="140" spans="3:8" ht="15.75" x14ac:dyDescent="0.25">
      <c r="C140" s="83" t="s">
        <v>163</v>
      </c>
      <c r="D140" s="58">
        <v>2</v>
      </c>
      <c r="E140" s="12">
        <v>10.65</v>
      </c>
      <c r="F140" s="58">
        <v>8.6</v>
      </c>
      <c r="G140" s="57">
        <f t="shared" si="4"/>
        <v>0.52488171300000019</v>
      </c>
      <c r="H140" s="86">
        <v>0.50489581200000022</v>
      </c>
    </row>
    <row r="141" spans="3:8" ht="15.75" x14ac:dyDescent="0.25">
      <c r="C141" s="83" t="s">
        <v>164</v>
      </c>
      <c r="D141" s="58">
        <v>2</v>
      </c>
      <c r="E141" s="12">
        <v>10.65</v>
      </c>
      <c r="F141" s="58">
        <v>10.6</v>
      </c>
      <c r="G141" s="57">
        <f t="shared" si="4"/>
        <v>1.2801993000000182E-2</v>
      </c>
      <c r="H141" s="86">
        <v>1.2314532000000175E-2</v>
      </c>
    </row>
    <row r="142" spans="3:8" ht="15.75" x14ac:dyDescent="0.25">
      <c r="C142" s="83" t="s">
        <v>165</v>
      </c>
      <c r="D142" s="58">
        <v>2</v>
      </c>
      <c r="E142" s="12">
        <v>10.65</v>
      </c>
      <c r="F142" s="58">
        <v>10.3</v>
      </c>
      <c r="G142" s="57">
        <f t="shared" si="4"/>
        <v>8.9613950999999914E-2</v>
      </c>
      <c r="H142" s="86">
        <v>8.6201723999999924E-2</v>
      </c>
    </row>
    <row r="143" spans="3:8" ht="15.75" x14ac:dyDescent="0.25">
      <c r="C143" s="83" t="s">
        <v>166</v>
      </c>
      <c r="D143" s="58">
        <v>2</v>
      </c>
      <c r="E143" s="12">
        <v>10.65</v>
      </c>
      <c r="F143" s="58">
        <v>10.4</v>
      </c>
      <c r="G143" s="57">
        <f t="shared" si="4"/>
        <v>6.4009965000000002E-2</v>
      </c>
      <c r="H143" s="86">
        <v>6.1572660000000001E-2</v>
      </c>
    </row>
    <row r="144" spans="3:8" ht="15.75" x14ac:dyDescent="0.25">
      <c r="C144" s="83" t="s">
        <v>167</v>
      </c>
      <c r="D144" s="58">
        <v>2</v>
      </c>
      <c r="E144" s="12">
        <v>10.65</v>
      </c>
      <c r="F144" s="58">
        <v>9.9</v>
      </c>
      <c r="G144" s="57">
        <f t="shared" si="4"/>
        <v>0.19202989500000001</v>
      </c>
      <c r="H144" s="86">
        <v>0.18471798</v>
      </c>
    </row>
    <row r="147" spans="2:8" ht="20.25" thickBot="1" x14ac:dyDescent="0.45">
      <c r="B147" s="40" t="s">
        <v>62</v>
      </c>
      <c r="C147" s="40" t="s">
        <v>62</v>
      </c>
      <c r="D147" s="41" t="s">
        <v>63</v>
      </c>
      <c r="E147" s="42"/>
      <c r="F147" s="43"/>
      <c r="G147" s="44" t="s">
        <v>64</v>
      </c>
      <c r="H147" s="45"/>
    </row>
    <row r="148" spans="2:8" ht="16.5" thickBot="1" x14ac:dyDescent="0.35">
      <c r="B148" s="46">
        <v>1.02</v>
      </c>
      <c r="C148" s="46">
        <v>1.02</v>
      </c>
      <c r="D148" s="47">
        <f>(B148+C148)/2</f>
        <v>1.02</v>
      </c>
      <c r="E148" s="48"/>
      <c r="F148" s="48"/>
      <c r="G148" s="49">
        <f>(1*1)/D148</f>
        <v>0.98039215686274506</v>
      </c>
      <c r="H148" s="48"/>
    </row>
    <row r="149" spans="2:8" ht="16.5" thickBot="1" x14ac:dyDescent="0.3">
      <c r="B149" s="50" t="s">
        <v>65</v>
      </c>
      <c r="C149" s="76" t="s">
        <v>65</v>
      </c>
      <c r="D149" s="76" t="s">
        <v>65</v>
      </c>
      <c r="E149" s="51"/>
      <c r="F149" s="76" t="s">
        <v>66</v>
      </c>
      <c r="G149" s="76"/>
      <c r="H149" s="76"/>
    </row>
    <row r="150" spans="2:8" ht="16.5" thickBot="1" x14ac:dyDescent="0.35">
      <c r="B150" s="77">
        <v>10.4</v>
      </c>
      <c r="C150" s="77">
        <v>10.5</v>
      </c>
      <c r="D150" s="47"/>
      <c r="E150" s="52"/>
      <c r="F150" s="52"/>
      <c r="G150" s="53">
        <f>(B150+C150+D150)/2</f>
        <v>10.45</v>
      </c>
      <c r="H150" s="54"/>
    </row>
    <row r="151" spans="2:8" ht="15.75" x14ac:dyDescent="0.25">
      <c r="B151" s="55">
        <v>44354</v>
      </c>
      <c r="C151" s="56" t="s">
        <v>16</v>
      </c>
      <c r="D151" s="51">
        <v>0.5</v>
      </c>
      <c r="E151" s="57">
        <f>(G150)</f>
        <v>10.45</v>
      </c>
      <c r="F151" s="58">
        <v>2.9</v>
      </c>
      <c r="G151" s="59">
        <f>+((E151-F151)*G148*(0.5172)/D151)</f>
        <v>7.6565882352941159</v>
      </c>
      <c r="H151" s="51" t="s">
        <v>67</v>
      </c>
    </row>
    <row r="152" spans="2:8" ht="15.75" x14ac:dyDescent="0.25">
      <c r="B152" s="55">
        <v>44354</v>
      </c>
      <c r="C152" s="56" t="s">
        <v>16</v>
      </c>
      <c r="D152" s="51">
        <v>0.5</v>
      </c>
      <c r="E152" s="57">
        <f>(G150)</f>
        <v>10.45</v>
      </c>
      <c r="F152" s="58">
        <v>6.9</v>
      </c>
      <c r="G152" s="59">
        <f>+((E152-F152)*G148*(0.5172)/D152)</f>
        <v>3.6001176470588221</v>
      </c>
      <c r="H152" s="51" t="s">
        <v>68</v>
      </c>
    </row>
    <row r="153" spans="2:8" ht="15.75" x14ac:dyDescent="0.25">
      <c r="B153" s="55">
        <v>44354</v>
      </c>
      <c r="C153" s="51" t="s">
        <v>16</v>
      </c>
      <c r="D153" s="58">
        <v>1</v>
      </c>
      <c r="E153" s="57">
        <f>(G150)</f>
        <v>10.45</v>
      </c>
      <c r="F153" s="58">
        <v>7.8</v>
      </c>
      <c r="G153" s="59">
        <f>+((E153-F153)*G148*(0.5172)/D153)</f>
        <v>1.3437058823529406</v>
      </c>
      <c r="H153" s="51" t="s">
        <v>69</v>
      </c>
    </row>
    <row r="154" spans="2:8" ht="15.75" x14ac:dyDescent="0.25">
      <c r="B154" s="55">
        <v>44354</v>
      </c>
      <c r="C154" s="51" t="s">
        <v>16</v>
      </c>
      <c r="D154" s="58">
        <v>1</v>
      </c>
      <c r="E154" s="57">
        <f>(G150)</f>
        <v>10.45</v>
      </c>
      <c r="F154" s="58">
        <v>7.9</v>
      </c>
      <c r="G154" s="59">
        <f>+((E154-F154)*G148*(0.5172)/D154)</f>
        <v>1.2929999999999993</v>
      </c>
      <c r="H154" s="51" t="s">
        <v>69</v>
      </c>
    </row>
    <row r="155" spans="2:8" ht="15.75" x14ac:dyDescent="0.25">
      <c r="C155" s="12" t="s">
        <v>163</v>
      </c>
      <c r="D155" s="58">
        <v>2</v>
      </c>
      <c r="E155" s="57">
        <v>10.45</v>
      </c>
      <c r="F155" s="58">
        <v>10.4</v>
      </c>
      <c r="G155" s="57">
        <f>+((E155-F155)*0.9804*(0.5172)/D155)</f>
        <v>1.2676571999999732E-2</v>
      </c>
    </row>
    <row r="156" spans="2:8" ht="15.75" x14ac:dyDescent="0.25">
      <c r="C156" s="12" t="s">
        <v>164</v>
      </c>
      <c r="D156" s="58">
        <v>2</v>
      </c>
      <c r="E156" s="57">
        <v>10.45</v>
      </c>
      <c r="F156" s="58">
        <v>9.9</v>
      </c>
      <c r="G156" s="57">
        <f>+((E156-F156)*0.9804*(0.5172)/D156)</f>
        <v>0.13944229199999975</v>
      </c>
    </row>
    <row r="157" spans="2:8" ht="15.75" x14ac:dyDescent="0.25">
      <c r="C157" s="12" t="s">
        <v>165</v>
      </c>
      <c r="D157" s="58">
        <v>2</v>
      </c>
      <c r="E157" s="57">
        <v>10.45</v>
      </c>
      <c r="F157" s="58">
        <v>10.4</v>
      </c>
      <c r="G157" s="57">
        <f t="shared" ref="G157:G159" si="5">+((E157-F157)*0.9804*(0.5172)/D157)</f>
        <v>1.2676571999999732E-2</v>
      </c>
    </row>
    <row r="158" spans="2:8" ht="15.75" x14ac:dyDescent="0.25">
      <c r="C158" s="12" t="s">
        <v>166</v>
      </c>
      <c r="D158" s="58">
        <v>2</v>
      </c>
      <c r="E158" s="57">
        <v>10.45</v>
      </c>
      <c r="F158" s="58">
        <v>10.3</v>
      </c>
      <c r="G158" s="57">
        <f t="shared" si="5"/>
        <v>3.8029715999999637E-2</v>
      </c>
    </row>
    <row r="159" spans="2:8" ht="15.75" x14ac:dyDescent="0.25">
      <c r="C159" s="12" t="s">
        <v>167</v>
      </c>
      <c r="D159" s="58">
        <v>2</v>
      </c>
      <c r="E159" s="57">
        <v>10.45</v>
      </c>
      <c r="F159" s="58">
        <v>10</v>
      </c>
      <c r="G159" s="57">
        <f t="shared" si="5"/>
        <v>0.11408914799999983</v>
      </c>
    </row>
    <row r="162" spans="2:8" ht="20.25" thickBot="1" x14ac:dyDescent="0.45">
      <c r="B162" s="40" t="s">
        <v>62</v>
      </c>
      <c r="C162" s="40" t="s">
        <v>62</v>
      </c>
      <c r="D162" s="41" t="s">
        <v>63</v>
      </c>
      <c r="E162" s="42"/>
      <c r="F162" s="43"/>
      <c r="G162" s="44" t="s">
        <v>64</v>
      </c>
      <c r="H162" s="45"/>
    </row>
    <row r="163" spans="2:8" ht="16.5" thickBot="1" x14ac:dyDescent="0.35">
      <c r="B163" s="46">
        <v>1.05</v>
      </c>
      <c r="C163" s="46">
        <v>1.05</v>
      </c>
      <c r="D163" s="47">
        <f>(B163+C163)/2</f>
        <v>1.05</v>
      </c>
      <c r="E163" s="48"/>
      <c r="F163" s="48"/>
      <c r="G163" s="49">
        <f>(1*1)/D163</f>
        <v>0.95238095238095233</v>
      </c>
      <c r="H163" s="48"/>
    </row>
    <row r="164" spans="2:8" ht="16.5" thickBot="1" x14ac:dyDescent="0.3">
      <c r="B164" s="50" t="s">
        <v>65</v>
      </c>
      <c r="C164" s="76" t="s">
        <v>65</v>
      </c>
      <c r="D164" s="76" t="s">
        <v>65</v>
      </c>
      <c r="E164" s="51"/>
      <c r="F164" s="76" t="s">
        <v>66</v>
      </c>
      <c r="G164" s="76"/>
      <c r="H164" s="76"/>
    </row>
    <row r="165" spans="2:8" ht="16.5" thickBot="1" x14ac:dyDescent="0.35">
      <c r="B165" s="77">
        <v>10.8</v>
      </c>
      <c r="C165" s="77">
        <v>10.9</v>
      </c>
      <c r="D165" s="47"/>
      <c r="E165" s="52"/>
      <c r="F165" s="52"/>
      <c r="G165" s="53">
        <f>(B165+C165+D165)/2</f>
        <v>10.850000000000001</v>
      </c>
      <c r="H165" s="54"/>
    </row>
    <row r="166" spans="2:8" ht="15.75" x14ac:dyDescent="0.25">
      <c r="B166" s="55">
        <v>44363</v>
      </c>
      <c r="C166" s="56" t="s">
        <v>16</v>
      </c>
      <c r="D166" s="51">
        <v>0.5</v>
      </c>
      <c r="E166" s="57">
        <f>(G165)</f>
        <v>10.850000000000001</v>
      </c>
      <c r="F166" s="58">
        <v>3.3</v>
      </c>
      <c r="G166" s="59">
        <f>+((E166-F166)*G163*(0.5172)/D166)</f>
        <v>7.4378285714285726</v>
      </c>
      <c r="H166" s="51" t="s">
        <v>67</v>
      </c>
    </row>
    <row r="167" spans="2:8" ht="15.75" x14ac:dyDescent="0.25">
      <c r="B167" s="55">
        <v>44363</v>
      </c>
      <c r="C167" s="56" t="s">
        <v>16</v>
      </c>
      <c r="D167" s="51">
        <v>0.5</v>
      </c>
      <c r="E167" s="57">
        <f>(G165)</f>
        <v>10.850000000000001</v>
      </c>
      <c r="F167" s="58">
        <v>7.2</v>
      </c>
      <c r="G167" s="59">
        <f>+((E167-F167)*G163*(0.5172)/D167)</f>
        <v>3.5957714285714295</v>
      </c>
      <c r="H167" s="51" t="s">
        <v>68</v>
      </c>
    </row>
    <row r="168" spans="2:8" ht="15.75" x14ac:dyDescent="0.25">
      <c r="B168" s="55">
        <v>44363</v>
      </c>
      <c r="C168" s="51" t="s">
        <v>16</v>
      </c>
      <c r="D168" s="58">
        <v>1</v>
      </c>
      <c r="E168" s="57">
        <f>(G165)</f>
        <v>10.850000000000001</v>
      </c>
      <c r="F168" s="58">
        <v>8.5</v>
      </c>
      <c r="G168" s="59">
        <f>+((E168-F168)*G163*(0.5172)/D168)</f>
        <v>1.1575428571428579</v>
      </c>
      <c r="H168" s="51" t="s">
        <v>69</v>
      </c>
    </row>
    <row r="169" spans="2:8" ht="15.75" x14ac:dyDescent="0.25">
      <c r="B169" s="55">
        <v>44363</v>
      </c>
      <c r="C169" s="51" t="s">
        <v>16</v>
      </c>
      <c r="D169" s="58">
        <v>1</v>
      </c>
      <c r="E169" s="57">
        <f>(G165)</f>
        <v>10.850000000000001</v>
      </c>
      <c r="F169" s="58">
        <v>8.3000000000000007</v>
      </c>
      <c r="G169" s="59">
        <f>+((E169-F169)*G163*(0.5172)/D169)</f>
        <v>1.2560571428571432</v>
      </c>
      <c r="H169" s="51" t="s">
        <v>69</v>
      </c>
    </row>
    <row r="170" spans="2:8" ht="15.75" x14ac:dyDescent="0.25">
      <c r="C170" s="83" t="s">
        <v>163</v>
      </c>
      <c r="D170" s="58">
        <v>2</v>
      </c>
      <c r="E170" s="57">
        <v>10.85</v>
      </c>
      <c r="F170" s="58">
        <v>10.4</v>
      </c>
      <c r="G170" s="57">
        <f>+((E170-F170)*0.9524*(0.5172)/D170)</f>
        <v>0.11083078799999983</v>
      </c>
    </row>
    <row r="171" spans="2:8" ht="15.75" x14ac:dyDescent="0.25">
      <c r="C171" s="83" t="s">
        <v>164</v>
      </c>
      <c r="D171" s="58">
        <v>2</v>
      </c>
      <c r="E171" s="57">
        <v>10.85</v>
      </c>
      <c r="F171" s="58">
        <v>10.6</v>
      </c>
      <c r="G171" s="57">
        <f>+((E171-F171)*0.9524*(0.5172)/D171)</f>
        <v>6.1572660000000001E-2</v>
      </c>
    </row>
    <row r="172" spans="2:8" ht="15.75" x14ac:dyDescent="0.25">
      <c r="C172" s="83" t="s">
        <v>165</v>
      </c>
      <c r="D172" s="58">
        <v>2</v>
      </c>
      <c r="E172" s="57">
        <v>10.85</v>
      </c>
      <c r="F172" s="58">
        <v>10.4</v>
      </c>
      <c r="G172" s="57">
        <f t="shared" ref="G172:G178" si="6">+((E172-F172)*0.9524*(0.5172)/D172)</f>
        <v>0.11083078799999983</v>
      </c>
    </row>
    <row r="173" spans="2:8" ht="15.75" x14ac:dyDescent="0.25">
      <c r="C173" s="83" t="s">
        <v>166</v>
      </c>
      <c r="D173" s="58">
        <v>2</v>
      </c>
      <c r="E173" s="57">
        <v>10.85</v>
      </c>
      <c r="F173" s="58">
        <v>10.7</v>
      </c>
      <c r="G173" s="57">
        <f t="shared" si="6"/>
        <v>3.6943596000000092E-2</v>
      </c>
    </row>
    <row r="174" spans="2:8" ht="15.75" x14ac:dyDescent="0.25">
      <c r="C174" s="83" t="s">
        <v>167</v>
      </c>
      <c r="D174" s="58">
        <v>2</v>
      </c>
      <c r="E174" s="57">
        <v>10.85</v>
      </c>
      <c r="F174" s="58">
        <v>10.199999999999999</v>
      </c>
      <c r="G174" s="57">
        <f t="shared" si="6"/>
        <v>0.16008891600000011</v>
      </c>
    </row>
    <row r="175" spans="2:8" ht="15.75" x14ac:dyDescent="0.25">
      <c r="C175" s="83" t="s">
        <v>168</v>
      </c>
      <c r="D175" s="58">
        <v>0.5</v>
      </c>
      <c r="E175" s="57">
        <v>10.85</v>
      </c>
      <c r="F175" s="58">
        <v>4.3</v>
      </c>
      <c r="G175" s="57">
        <f t="shared" si="6"/>
        <v>6.4528147679999996</v>
      </c>
    </row>
    <row r="176" spans="2:8" ht="15.75" x14ac:dyDescent="0.25">
      <c r="C176" s="83" t="s">
        <v>169</v>
      </c>
      <c r="D176" s="58">
        <v>0.5</v>
      </c>
      <c r="E176" s="57">
        <v>10.85</v>
      </c>
      <c r="F176" s="58">
        <v>4.9000000000000004</v>
      </c>
      <c r="G176" s="57">
        <f t="shared" si="6"/>
        <v>5.8617172319999993</v>
      </c>
    </row>
    <row r="177" spans="2:8" ht="15.75" x14ac:dyDescent="0.25">
      <c r="C177" s="83" t="s">
        <v>170</v>
      </c>
      <c r="D177" s="58">
        <v>0.5</v>
      </c>
      <c r="E177" s="57">
        <v>10.85</v>
      </c>
      <c r="F177" s="58">
        <v>5.5</v>
      </c>
      <c r="G177" s="57">
        <f t="shared" si="6"/>
        <v>5.2706196959999998</v>
      </c>
    </row>
    <row r="178" spans="2:8" ht="15.75" x14ac:dyDescent="0.25">
      <c r="C178" s="83" t="s">
        <v>171</v>
      </c>
      <c r="D178" s="58">
        <v>0.5</v>
      </c>
      <c r="E178" s="57">
        <v>10.85</v>
      </c>
      <c r="F178" s="58">
        <v>7.9</v>
      </c>
      <c r="G178" s="57">
        <f t="shared" si="6"/>
        <v>2.9062295519999997</v>
      </c>
    </row>
    <row r="180" spans="2:8" ht="20.25" thickBot="1" x14ac:dyDescent="0.45">
      <c r="B180" s="40" t="s">
        <v>62</v>
      </c>
      <c r="C180" s="40" t="s">
        <v>62</v>
      </c>
      <c r="D180" s="41" t="s">
        <v>63</v>
      </c>
      <c r="E180" s="42"/>
      <c r="F180" s="43"/>
      <c r="G180" s="44" t="s">
        <v>64</v>
      </c>
      <c r="H180" s="45"/>
    </row>
    <row r="181" spans="2:8" ht="16.5" thickBot="1" x14ac:dyDescent="0.35">
      <c r="B181" s="46">
        <v>1</v>
      </c>
      <c r="C181" s="46">
        <v>1</v>
      </c>
      <c r="D181" s="47">
        <f>(B181+C181)/2</f>
        <v>1</v>
      </c>
      <c r="E181" s="48"/>
      <c r="F181" s="48"/>
      <c r="G181" s="49">
        <f>(1*1)/D181</f>
        <v>1</v>
      </c>
      <c r="H181" s="48"/>
    </row>
    <row r="182" spans="2:8" ht="16.5" thickBot="1" x14ac:dyDescent="0.3">
      <c r="B182" s="50" t="s">
        <v>65</v>
      </c>
      <c r="C182" s="76" t="s">
        <v>65</v>
      </c>
      <c r="D182" s="76" t="s">
        <v>65</v>
      </c>
      <c r="E182" s="51"/>
      <c r="F182" s="76" t="s">
        <v>66</v>
      </c>
      <c r="G182" s="76"/>
      <c r="H182" s="76"/>
    </row>
    <row r="183" spans="2:8" ht="16.5" thickBot="1" x14ac:dyDescent="0.35">
      <c r="B183" s="77">
        <v>10.5</v>
      </c>
      <c r="C183" s="77">
        <v>10.6</v>
      </c>
      <c r="D183" s="47"/>
      <c r="E183" s="52"/>
      <c r="F183" s="52"/>
      <c r="G183" s="53">
        <f>(B183+C183+D183)/2</f>
        <v>10.55</v>
      </c>
      <c r="H183" s="54"/>
    </row>
    <row r="184" spans="2:8" ht="15.75" x14ac:dyDescent="0.25">
      <c r="B184" s="55">
        <v>44424</v>
      </c>
      <c r="C184" s="56" t="s">
        <v>16</v>
      </c>
      <c r="D184" s="51">
        <v>0.5</v>
      </c>
      <c r="E184" s="57">
        <f>(G183)</f>
        <v>10.55</v>
      </c>
      <c r="F184" s="58">
        <v>3</v>
      </c>
      <c r="G184" s="59">
        <f>+((E184-F184)*G181*(0.5172)/D184)</f>
        <v>7.8097200000000004</v>
      </c>
      <c r="H184" s="51" t="s">
        <v>67</v>
      </c>
    </row>
    <row r="185" spans="2:8" ht="15.75" x14ac:dyDescent="0.25">
      <c r="B185" s="55">
        <v>44424</v>
      </c>
      <c r="C185" s="56" t="s">
        <v>16</v>
      </c>
      <c r="D185" s="51">
        <v>0.5</v>
      </c>
      <c r="E185" s="57">
        <f>(G183)</f>
        <v>10.55</v>
      </c>
      <c r="F185" s="58">
        <v>7</v>
      </c>
      <c r="G185" s="85">
        <f>+((E185-F185)*G181*(0.5172)/D185)</f>
        <v>3.6721200000000005</v>
      </c>
      <c r="H185" s="51" t="s">
        <v>68</v>
      </c>
    </row>
    <row r="186" spans="2:8" ht="15.75" x14ac:dyDescent="0.25">
      <c r="B186" s="55">
        <v>44424</v>
      </c>
      <c r="C186" s="51" t="s">
        <v>16</v>
      </c>
      <c r="D186" s="58">
        <v>1</v>
      </c>
      <c r="E186" s="57">
        <f>(G183)</f>
        <v>10.55</v>
      </c>
      <c r="F186" s="58">
        <v>8</v>
      </c>
      <c r="G186" s="59">
        <f>+((E186-F186)*G181*(0.5172)/D186)</f>
        <v>1.3188600000000004</v>
      </c>
      <c r="H186" s="51" t="s">
        <v>69</v>
      </c>
    </row>
    <row r="187" spans="2:8" ht="15.75" x14ac:dyDescent="0.25">
      <c r="B187" s="55">
        <v>44424</v>
      </c>
      <c r="C187" s="51" t="s">
        <v>16</v>
      </c>
      <c r="D187" s="58">
        <v>1</v>
      </c>
      <c r="E187" s="57">
        <f>(G183)</f>
        <v>10.55</v>
      </c>
      <c r="F187" s="58">
        <v>7.9</v>
      </c>
      <c r="G187" s="59">
        <f>+((E187-F187)*G181*(0.5172)/D187)</f>
        <v>1.3705800000000001</v>
      </c>
      <c r="H187" s="51" t="s">
        <v>69</v>
      </c>
    </row>
    <row r="188" spans="2:8" ht="15.75" x14ac:dyDescent="0.25">
      <c r="C188" s="69" t="s">
        <v>172</v>
      </c>
      <c r="D188" s="51">
        <v>0.5</v>
      </c>
      <c r="E188" s="57">
        <v>10.55</v>
      </c>
      <c r="F188" s="58">
        <v>6.9</v>
      </c>
      <c r="G188" s="57">
        <f>+((E188-F188)*1*(0.5172)/D188)</f>
        <v>3.7755600000000005</v>
      </c>
    </row>
    <row r="189" spans="2:8" ht="15.75" x14ac:dyDescent="0.25">
      <c r="C189" s="69" t="s">
        <v>173</v>
      </c>
      <c r="D189" s="51">
        <v>0.5</v>
      </c>
      <c r="E189" s="57">
        <v>10.55</v>
      </c>
      <c r="F189" s="58">
        <v>8.8000000000000007</v>
      </c>
      <c r="G189" s="57">
        <f t="shared" ref="G189:G196" si="7">+((E189-F189)*1*(0.5172)/D189)</f>
        <v>1.8102</v>
      </c>
    </row>
    <row r="190" spans="2:8" ht="15.75" x14ac:dyDescent="0.25">
      <c r="C190" s="69" t="s">
        <v>174</v>
      </c>
      <c r="D190" s="51">
        <v>0.5</v>
      </c>
      <c r="E190" s="57">
        <v>10.55</v>
      </c>
      <c r="F190" s="58">
        <v>9.5</v>
      </c>
      <c r="G190" s="57">
        <f t="shared" si="7"/>
        <v>1.0861200000000006</v>
      </c>
    </row>
    <row r="191" spans="2:8" ht="15.75" x14ac:dyDescent="0.25">
      <c r="C191" s="69" t="s">
        <v>175</v>
      </c>
      <c r="D191" s="51">
        <v>0.5</v>
      </c>
      <c r="E191" s="57">
        <v>10.55</v>
      </c>
      <c r="F191" s="58">
        <v>8.8000000000000007</v>
      </c>
      <c r="G191" s="57">
        <f t="shared" si="7"/>
        <v>1.8102</v>
      </c>
    </row>
    <row r="192" spans="2:8" ht="15.75" x14ac:dyDescent="0.25">
      <c r="C192" s="69" t="s">
        <v>176</v>
      </c>
      <c r="D192" s="51">
        <v>0.5</v>
      </c>
      <c r="E192" s="57">
        <v>10.55</v>
      </c>
      <c r="F192" s="58">
        <v>9.1999999999999993</v>
      </c>
      <c r="G192" s="57">
        <f t="shared" si="7"/>
        <v>1.3964400000000015</v>
      </c>
    </row>
    <row r="193" spans="2:8" ht="15.75" x14ac:dyDescent="0.25">
      <c r="C193" s="69" t="s">
        <v>177</v>
      </c>
      <c r="D193" s="51">
        <v>0.5</v>
      </c>
      <c r="E193" s="57">
        <v>10.55</v>
      </c>
      <c r="F193" s="58">
        <v>5.9</v>
      </c>
      <c r="G193" s="57">
        <f t="shared" si="7"/>
        <v>4.8099600000000002</v>
      </c>
    </row>
    <row r="194" spans="2:8" ht="15.75" x14ac:dyDescent="0.25">
      <c r="C194" s="69" t="s">
        <v>178</v>
      </c>
      <c r="D194" s="51">
        <v>0.5</v>
      </c>
      <c r="E194" s="57">
        <v>10.55</v>
      </c>
      <c r="F194" s="58">
        <v>6.7</v>
      </c>
      <c r="G194" s="57">
        <f t="shared" si="7"/>
        <v>3.9824400000000004</v>
      </c>
    </row>
    <row r="195" spans="2:8" ht="15.75" x14ac:dyDescent="0.25">
      <c r="C195" s="69" t="s">
        <v>179</v>
      </c>
      <c r="D195" s="51">
        <v>0.5</v>
      </c>
      <c r="E195" s="57">
        <v>10.55</v>
      </c>
      <c r="F195" s="58">
        <v>6.4</v>
      </c>
      <c r="G195" s="57">
        <f t="shared" si="7"/>
        <v>4.2927600000000004</v>
      </c>
    </row>
    <row r="196" spans="2:8" ht="15.75" x14ac:dyDescent="0.25">
      <c r="C196" s="69" t="s">
        <v>180</v>
      </c>
      <c r="D196" s="51">
        <v>0.5</v>
      </c>
      <c r="E196" s="57">
        <v>10.55</v>
      </c>
      <c r="F196" s="58">
        <v>6.5</v>
      </c>
      <c r="G196" s="57">
        <f t="shared" si="7"/>
        <v>4.1893200000000004</v>
      </c>
    </row>
    <row r="198" spans="2:8" ht="20.25" thickBot="1" x14ac:dyDescent="0.45">
      <c r="B198" s="40" t="s">
        <v>62</v>
      </c>
      <c r="C198" s="40" t="s">
        <v>62</v>
      </c>
      <c r="D198" s="41" t="s">
        <v>63</v>
      </c>
      <c r="E198" s="42"/>
      <c r="F198" s="43"/>
      <c r="G198" s="44" t="s">
        <v>64</v>
      </c>
      <c r="H198" s="45"/>
    </row>
    <row r="199" spans="2:8" ht="16.5" thickBot="1" x14ac:dyDescent="0.35">
      <c r="B199" s="46">
        <v>1</v>
      </c>
      <c r="C199" s="46">
        <v>1.01</v>
      </c>
      <c r="D199" s="47">
        <f>(B199+C199)/2</f>
        <v>1.0049999999999999</v>
      </c>
      <c r="E199" s="48"/>
      <c r="F199" s="48"/>
      <c r="G199" s="49">
        <f>(1*1)/D199</f>
        <v>0.99502487562189068</v>
      </c>
      <c r="H199" s="48"/>
    </row>
    <row r="200" spans="2:8" ht="16.5" thickBot="1" x14ac:dyDescent="0.3">
      <c r="B200" s="50" t="s">
        <v>65</v>
      </c>
      <c r="C200" s="76" t="s">
        <v>65</v>
      </c>
      <c r="D200" s="76" t="s">
        <v>65</v>
      </c>
      <c r="E200" s="51"/>
      <c r="F200" s="76" t="s">
        <v>66</v>
      </c>
      <c r="G200" s="76"/>
      <c r="H200" s="76"/>
    </row>
    <row r="201" spans="2:8" ht="16.5" thickBot="1" x14ac:dyDescent="0.35">
      <c r="B201" s="77">
        <v>10.5</v>
      </c>
      <c r="C201" s="77">
        <v>10.6</v>
      </c>
      <c r="D201" s="47"/>
      <c r="E201" s="52"/>
      <c r="F201" s="52"/>
      <c r="G201" s="53">
        <f>(B201+C201+D201)/2</f>
        <v>10.55</v>
      </c>
      <c r="H201" s="54"/>
    </row>
    <row r="202" spans="2:8" ht="15.75" x14ac:dyDescent="0.25">
      <c r="B202" s="55">
        <v>44449</v>
      </c>
      <c r="C202" s="56" t="s">
        <v>16</v>
      </c>
      <c r="D202" s="51">
        <v>0.5</v>
      </c>
      <c r="E202" s="57">
        <f>(G201)</f>
        <v>10.55</v>
      </c>
      <c r="F202" s="58">
        <v>3</v>
      </c>
      <c r="G202" s="59">
        <f>+((E202-F202)*G199*(0.5172)/D202)</f>
        <v>7.7708656716417934</v>
      </c>
      <c r="H202" s="51" t="s">
        <v>67</v>
      </c>
    </row>
    <row r="203" spans="2:8" ht="15.75" x14ac:dyDescent="0.25">
      <c r="B203" s="55">
        <v>44449</v>
      </c>
      <c r="C203" s="56" t="s">
        <v>16</v>
      </c>
      <c r="D203" s="51">
        <v>0.5</v>
      </c>
      <c r="E203" s="57">
        <f>(G201)</f>
        <v>10.55</v>
      </c>
      <c r="F203" s="58">
        <v>7</v>
      </c>
      <c r="G203" s="85">
        <f>+((E203-F203)*G199*(0.5172)/D203)</f>
        <v>3.6538507462686578</v>
      </c>
      <c r="H203" s="51" t="s">
        <v>68</v>
      </c>
    </row>
    <row r="204" spans="2:8" ht="15.75" x14ac:dyDescent="0.25">
      <c r="B204" s="55">
        <v>44449</v>
      </c>
      <c r="C204" s="51" t="s">
        <v>16</v>
      </c>
      <c r="D204" s="58">
        <v>1</v>
      </c>
      <c r="E204" s="57">
        <f>(G201)</f>
        <v>10.55</v>
      </c>
      <c r="F204" s="58">
        <v>7.8</v>
      </c>
      <c r="G204" s="94">
        <f>+((E204-F204)*G199*(0.5172)/D204)</f>
        <v>1.4152238805970154</v>
      </c>
      <c r="H204" s="51" t="s">
        <v>69</v>
      </c>
    </row>
    <row r="205" spans="2:8" ht="15.75" x14ac:dyDescent="0.25">
      <c r="B205" s="55">
        <v>44449</v>
      </c>
      <c r="C205" s="89" t="s">
        <v>16</v>
      </c>
      <c r="D205" s="58">
        <v>1</v>
      </c>
      <c r="E205" s="57">
        <f>(G201)</f>
        <v>10.55</v>
      </c>
      <c r="F205" s="91">
        <v>7.8</v>
      </c>
      <c r="G205" s="93">
        <f>+((E205-F205)*G199*(0.5172)/D205)</f>
        <v>1.4152238805970154</v>
      </c>
      <c r="H205" s="95" t="s">
        <v>69</v>
      </c>
    </row>
    <row r="206" spans="2:8" ht="15.75" x14ac:dyDescent="0.25">
      <c r="B206" s="90"/>
      <c r="C206" s="97" t="s">
        <v>181</v>
      </c>
      <c r="D206" s="17">
        <v>0.5</v>
      </c>
      <c r="E206" s="57">
        <v>10.55</v>
      </c>
      <c r="F206" s="91">
        <v>7.6</v>
      </c>
      <c r="G206" s="92">
        <f>+((E206-F206)*G199*(0.5172)/D206)</f>
        <v>3.0362985074626883</v>
      </c>
      <c r="H206" s="96"/>
    </row>
    <row r="207" spans="2:8" ht="15.75" x14ac:dyDescent="0.25">
      <c r="B207" s="90"/>
      <c r="C207" s="97" t="s">
        <v>182</v>
      </c>
      <c r="D207" s="17">
        <v>0.5</v>
      </c>
      <c r="E207" s="57">
        <v>10.55</v>
      </c>
      <c r="F207" s="91">
        <v>9.6</v>
      </c>
      <c r="G207" s="92">
        <f>+((E207-F207)*G199*(0.5172)/D207)</f>
        <v>0.97779104477612055</v>
      </c>
    </row>
    <row r="208" spans="2:8" ht="15.75" x14ac:dyDescent="0.25">
      <c r="B208" s="90"/>
      <c r="C208" s="97" t="s">
        <v>183</v>
      </c>
      <c r="D208" s="17">
        <v>0.5</v>
      </c>
      <c r="E208" s="57">
        <v>10.55</v>
      </c>
      <c r="F208" s="91">
        <v>9.1</v>
      </c>
      <c r="G208" s="92">
        <f>+((E208-F208)*G199*(0.5172)/D208)</f>
        <v>1.4924179104477624</v>
      </c>
    </row>
    <row r="210" spans="2:8" ht="20.25" thickBot="1" x14ac:dyDescent="0.45">
      <c r="B210" s="40" t="s">
        <v>62</v>
      </c>
      <c r="C210" s="40" t="s">
        <v>62</v>
      </c>
      <c r="D210" s="41" t="s">
        <v>63</v>
      </c>
      <c r="E210" s="42"/>
      <c r="F210" s="43"/>
      <c r="G210" s="44" t="s">
        <v>64</v>
      </c>
      <c r="H210" s="45"/>
    </row>
    <row r="211" spans="2:8" ht="16.5" thickBot="1" x14ac:dyDescent="0.35">
      <c r="B211" s="46">
        <v>1.02</v>
      </c>
      <c r="C211" s="46">
        <v>1</v>
      </c>
      <c r="D211" s="47">
        <f>(B211+C211)/2</f>
        <v>1.01</v>
      </c>
      <c r="E211" s="48"/>
      <c r="F211" s="48"/>
      <c r="G211" s="49">
        <f>(1*1)/D211</f>
        <v>0.99009900990099009</v>
      </c>
      <c r="H211" s="48"/>
    </row>
    <row r="212" spans="2:8" ht="16.5" thickBot="1" x14ac:dyDescent="0.3">
      <c r="B212" s="50" t="s">
        <v>65</v>
      </c>
      <c r="C212" s="76" t="s">
        <v>65</v>
      </c>
      <c r="D212" s="76" t="s">
        <v>65</v>
      </c>
      <c r="E212" s="51"/>
      <c r="F212" s="76" t="s">
        <v>66</v>
      </c>
      <c r="G212" s="76"/>
      <c r="H212" s="76"/>
    </row>
    <row r="213" spans="2:8" ht="15.75" x14ac:dyDescent="0.3">
      <c r="B213" s="77">
        <v>10.5</v>
      </c>
      <c r="C213" s="77">
        <v>10.6</v>
      </c>
      <c r="D213" s="47"/>
      <c r="E213" s="52"/>
      <c r="F213" s="52"/>
      <c r="G213" s="98">
        <f>(B213+C213+D213)/2</f>
        <v>10.55</v>
      </c>
      <c r="H213" s="54"/>
    </row>
    <row r="214" spans="2:8" ht="15.75" x14ac:dyDescent="0.25">
      <c r="B214" s="55">
        <v>44491</v>
      </c>
      <c r="C214" s="56" t="s">
        <v>16</v>
      </c>
      <c r="D214" s="51">
        <v>0.5</v>
      </c>
      <c r="E214" s="57">
        <f>(G213)</f>
        <v>10.55</v>
      </c>
      <c r="F214" s="58">
        <v>3.1</v>
      </c>
      <c r="G214" s="59">
        <f>+((E214-F214)*G211*(0.5172)/D214)</f>
        <v>7.629980198019803</v>
      </c>
      <c r="H214" s="51" t="s">
        <v>67</v>
      </c>
    </row>
    <row r="215" spans="2:8" ht="15.75" x14ac:dyDescent="0.25">
      <c r="B215" s="55">
        <v>44491</v>
      </c>
      <c r="C215" s="56" t="s">
        <v>16</v>
      </c>
      <c r="D215" s="51">
        <v>0.5</v>
      </c>
      <c r="E215" s="57">
        <f>(G213)</f>
        <v>10.55</v>
      </c>
      <c r="F215" s="58">
        <v>7.3</v>
      </c>
      <c r="G215" s="59">
        <f>+((E215-F215)*G211*(0.5172)/D215)</f>
        <v>3.3285148514851493</v>
      </c>
      <c r="H215" s="51" t="s">
        <v>68</v>
      </c>
    </row>
    <row r="216" spans="2:8" ht="15.75" x14ac:dyDescent="0.25">
      <c r="B216" s="55">
        <v>44491</v>
      </c>
      <c r="C216" s="51" t="s">
        <v>16</v>
      </c>
      <c r="D216" s="58">
        <v>1</v>
      </c>
      <c r="E216" s="57">
        <f>(G213)</f>
        <v>10.55</v>
      </c>
      <c r="F216" s="58">
        <v>7.6</v>
      </c>
      <c r="G216" s="99">
        <f>+((E216-F216)*G211*(0.5172)/D216)</f>
        <v>1.5106336633663371</v>
      </c>
      <c r="H216" s="51" t="s">
        <v>69</v>
      </c>
    </row>
    <row r="217" spans="2:8" ht="15.75" x14ac:dyDescent="0.25">
      <c r="B217" s="55">
        <v>44491</v>
      </c>
      <c r="C217" s="89" t="s">
        <v>16</v>
      </c>
      <c r="D217" s="58">
        <v>1</v>
      </c>
      <c r="E217" s="57">
        <f>(G213)</f>
        <v>10.55</v>
      </c>
      <c r="F217" s="91">
        <v>7.7</v>
      </c>
      <c r="G217" s="93">
        <f>+((E217-F217)*G211*(0.5172)/D217)</f>
        <v>1.4594257425742576</v>
      </c>
      <c r="H217" s="95" t="s">
        <v>69</v>
      </c>
    </row>
    <row r="218" spans="2:8" ht="15.75" x14ac:dyDescent="0.25">
      <c r="C218" s="101" t="s">
        <v>53</v>
      </c>
      <c r="D218" s="12">
        <v>0.5</v>
      </c>
      <c r="E218" s="17">
        <v>10.55</v>
      </c>
      <c r="F218" s="58">
        <v>7</v>
      </c>
      <c r="G218" s="100">
        <f>+((E218-F218)*$G$211*(0.5172)/D218)</f>
        <v>3.6357623762376243</v>
      </c>
    </row>
    <row r="219" spans="2:8" ht="15.75" x14ac:dyDescent="0.25">
      <c r="C219" s="101" t="s">
        <v>54</v>
      </c>
      <c r="D219" s="12">
        <v>0.5</v>
      </c>
      <c r="E219" s="17">
        <v>10.55</v>
      </c>
      <c r="F219" s="58">
        <v>4</v>
      </c>
      <c r="G219" s="100">
        <f t="shared" ref="G219:G235" si="8">+((E219-F219)*$G$211*(0.5172)/D219)</f>
        <v>6.7082376237623764</v>
      </c>
    </row>
    <row r="220" spans="2:8" ht="15.75" x14ac:dyDescent="0.25">
      <c r="C220" s="101" t="s">
        <v>184</v>
      </c>
      <c r="D220" s="12">
        <v>0.5</v>
      </c>
      <c r="E220" s="17">
        <v>10.55</v>
      </c>
      <c r="F220" s="58">
        <v>5.6</v>
      </c>
      <c r="G220" s="100">
        <f t="shared" si="8"/>
        <v>5.0695841584158421</v>
      </c>
    </row>
    <row r="221" spans="2:8" ht="15.75" x14ac:dyDescent="0.25">
      <c r="C221" s="101" t="s">
        <v>185</v>
      </c>
      <c r="D221" s="12">
        <v>0.5</v>
      </c>
      <c r="E221" s="17">
        <v>10.55</v>
      </c>
      <c r="F221" s="58">
        <v>7</v>
      </c>
      <c r="G221" s="100">
        <f t="shared" si="8"/>
        <v>3.6357623762376243</v>
      </c>
    </row>
    <row r="222" spans="2:8" ht="15.75" x14ac:dyDescent="0.25">
      <c r="C222" s="101" t="s">
        <v>186</v>
      </c>
      <c r="D222" s="12">
        <v>0.5</v>
      </c>
      <c r="E222" s="17">
        <v>10.55</v>
      </c>
      <c r="F222" s="58">
        <v>4.8</v>
      </c>
      <c r="G222" s="100">
        <f t="shared" si="8"/>
        <v>5.8889108910891093</v>
      </c>
    </row>
    <row r="223" spans="2:8" ht="15.75" x14ac:dyDescent="0.25">
      <c r="C223" s="101" t="s">
        <v>187</v>
      </c>
      <c r="D223" s="12">
        <v>0.5</v>
      </c>
      <c r="E223" s="17">
        <v>10.55</v>
      </c>
      <c r="F223" s="58">
        <v>6.8</v>
      </c>
      <c r="G223" s="100">
        <f>+((E223-F223)*$G$211*(0.5172)/D223)</f>
        <v>3.8405940594059413</v>
      </c>
    </row>
    <row r="224" spans="2:8" ht="15.75" x14ac:dyDescent="0.25">
      <c r="C224" s="101" t="s">
        <v>188</v>
      </c>
      <c r="D224" s="12">
        <v>0.5</v>
      </c>
      <c r="E224" s="17">
        <v>10.55</v>
      </c>
      <c r="F224" s="58">
        <v>4.2</v>
      </c>
      <c r="G224" s="100">
        <f t="shared" si="8"/>
        <v>6.5034059405940594</v>
      </c>
    </row>
    <row r="225" spans="2:9" ht="15.75" x14ac:dyDescent="0.25">
      <c r="C225" s="101" t="s">
        <v>189</v>
      </c>
      <c r="D225" s="12">
        <v>0.5</v>
      </c>
      <c r="E225" s="17">
        <v>10.55</v>
      </c>
      <c r="F225" s="58">
        <v>9</v>
      </c>
      <c r="G225" s="100">
        <f t="shared" si="8"/>
        <v>1.5874455445544562</v>
      </c>
    </row>
    <row r="226" spans="2:9" ht="15.75" x14ac:dyDescent="0.25">
      <c r="C226" s="101" t="s">
        <v>190</v>
      </c>
      <c r="D226" s="12">
        <v>0.5</v>
      </c>
      <c r="E226" s="17">
        <v>10.55</v>
      </c>
      <c r="F226" s="58">
        <v>8.1999999999999993</v>
      </c>
      <c r="G226" s="100">
        <f t="shared" si="8"/>
        <v>2.406772277227724</v>
      </c>
    </row>
    <row r="227" spans="2:9" ht="15.75" x14ac:dyDescent="0.25">
      <c r="C227" s="101" t="s">
        <v>191</v>
      </c>
      <c r="D227" s="12">
        <v>0.5</v>
      </c>
      <c r="E227" s="17">
        <v>10.55</v>
      </c>
      <c r="F227" s="58">
        <v>5.5</v>
      </c>
      <c r="G227" s="100">
        <f t="shared" si="8"/>
        <v>5.1720000000000006</v>
      </c>
    </row>
    <row r="228" spans="2:9" ht="15.75" x14ac:dyDescent="0.25">
      <c r="C228" s="101" t="s">
        <v>192</v>
      </c>
      <c r="D228" s="12">
        <v>0.5</v>
      </c>
      <c r="E228" s="17">
        <v>10.55</v>
      </c>
      <c r="F228" s="58">
        <v>7.7</v>
      </c>
      <c r="G228" s="100">
        <f t="shared" si="8"/>
        <v>2.9188514851485152</v>
      </c>
    </row>
    <row r="229" spans="2:9" ht="15.75" x14ac:dyDescent="0.25">
      <c r="C229" s="101" t="s">
        <v>193</v>
      </c>
      <c r="D229" s="12">
        <v>0.5</v>
      </c>
      <c r="E229" s="17">
        <v>10.55</v>
      </c>
      <c r="F229" s="58">
        <v>5.4</v>
      </c>
      <c r="G229" s="100">
        <f t="shared" si="8"/>
        <v>5.2744158415841582</v>
      </c>
    </row>
    <row r="230" spans="2:9" ht="15.75" x14ac:dyDescent="0.25">
      <c r="C230" s="101" t="s">
        <v>194</v>
      </c>
      <c r="D230" s="12">
        <v>0.5</v>
      </c>
      <c r="E230" s="17">
        <v>10.55</v>
      </c>
      <c r="F230" s="58">
        <v>3.9</v>
      </c>
      <c r="G230" s="100">
        <f t="shared" si="8"/>
        <v>6.8106534653465349</v>
      </c>
    </row>
    <row r="231" spans="2:9" ht="15.75" x14ac:dyDescent="0.25">
      <c r="C231" s="101" t="s">
        <v>195</v>
      </c>
      <c r="D231" s="12">
        <v>0.5</v>
      </c>
      <c r="E231" s="17">
        <v>10.55</v>
      </c>
      <c r="F231" s="58">
        <v>7.4</v>
      </c>
      <c r="G231" s="100">
        <f t="shared" si="8"/>
        <v>3.2260990099009903</v>
      </c>
    </row>
    <row r="232" spans="2:9" ht="15.75" x14ac:dyDescent="0.25">
      <c r="C232" s="101" t="s">
        <v>196</v>
      </c>
      <c r="D232" s="12">
        <v>0.5</v>
      </c>
      <c r="E232" s="17">
        <v>10.55</v>
      </c>
      <c r="F232" s="58">
        <v>9</v>
      </c>
      <c r="G232" s="100">
        <f t="shared" si="8"/>
        <v>1.5874455445544562</v>
      </c>
    </row>
    <row r="233" spans="2:9" ht="15.75" x14ac:dyDescent="0.25">
      <c r="C233" s="101" t="s">
        <v>197</v>
      </c>
      <c r="D233" s="12">
        <v>0.5</v>
      </c>
      <c r="E233" s="17">
        <v>10.55</v>
      </c>
      <c r="F233" s="58">
        <v>4.8</v>
      </c>
      <c r="G233" s="100">
        <f t="shared" si="8"/>
        <v>5.8889108910891093</v>
      </c>
    </row>
    <row r="234" spans="2:9" ht="15.75" x14ac:dyDescent="0.25">
      <c r="C234" s="101" t="s">
        <v>198</v>
      </c>
      <c r="D234" s="12">
        <v>0.5</v>
      </c>
      <c r="E234" s="17">
        <v>10.55</v>
      </c>
      <c r="F234" s="58">
        <v>6.3</v>
      </c>
      <c r="G234" s="100">
        <f t="shared" si="8"/>
        <v>4.3526732673267334</v>
      </c>
    </row>
    <row r="235" spans="2:9" ht="15.75" x14ac:dyDescent="0.25">
      <c r="C235" s="101" t="s">
        <v>199</v>
      </c>
      <c r="D235" s="12">
        <v>0.5</v>
      </c>
      <c r="E235" s="17">
        <v>10.55</v>
      </c>
      <c r="F235" s="58">
        <v>4</v>
      </c>
      <c r="G235" s="100">
        <f t="shared" si="8"/>
        <v>6.7082376237623764</v>
      </c>
    </row>
    <row r="236" spans="2:9" x14ac:dyDescent="0.25">
      <c r="I236" s="87" t="s">
        <v>200</v>
      </c>
    </row>
    <row r="237" spans="2:9" x14ac:dyDescent="0.25">
      <c r="I237" s="102">
        <v>44503</v>
      </c>
    </row>
    <row r="239" spans="2:9" ht="20.25" thickBot="1" x14ac:dyDescent="0.45">
      <c r="B239" s="40" t="s">
        <v>62</v>
      </c>
      <c r="C239" s="40" t="s">
        <v>62</v>
      </c>
      <c r="D239" s="41" t="s">
        <v>63</v>
      </c>
      <c r="E239" s="42"/>
      <c r="F239" s="43"/>
      <c r="G239" s="44" t="s">
        <v>64</v>
      </c>
      <c r="H239" s="45"/>
    </row>
    <row r="240" spans="2:9" ht="16.5" thickBot="1" x14ac:dyDescent="0.35">
      <c r="B240" s="46">
        <v>1.02</v>
      </c>
      <c r="C240" s="46">
        <v>1.02</v>
      </c>
      <c r="D240" s="47">
        <f>(B240+C240)/2</f>
        <v>1.02</v>
      </c>
      <c r="E240" s="48"/>
      <c r="F240" s="48"/>
      <c r="G240" s="49">
        <f>(1*1)/D240</f>
        <v>0.98039215686274506</v>
      </c>
      <c r="H240" s="48"/>
    </row>
    <row r="241" spans="2:8" ht="16.5" thickBot="1" x14ac:dyDescent="0.3">
      <c r="B241" s="50" t="s">
        <v>65</v>
      </c>
      <c r="C241" s="76" t="s">
        <v>65</v>
      </c>
      <c r="D241" s="76" t="s">
        <v>65</v>
      </c>
      <c r="E241" s="51"/>
      <c r="F241" s="76" t="s">
        <v>66</v>
      </c>
      <c r="G241" s="76"/>
      <c r="H241" s="76"/>
    </row>
    <row r="242" spans="2:8" ht="15.75" x14ac:dyDescent="0.3">
      <c r="B242" s="77">
        <v>10.3</v>
      </c>
      <c r="C242" s="77">
        <v>10.4</v>
      </c>
      <c r="D242" s="47"/>
      <c r="E242" s="52"/>
      <c r="F242" s="52"/>
      <c r="G242" s="98">
        <f>(B242+C242+D242)/2</f>
        <v>10.350000000000001</v>
      </c>
      <c r="H242" s="54"/>
    </row>
    <row r="243" spans="2:8" ht="15.75" x14ac:dyDescent="0.25">
      <c r="B243" s="55">
        <v>44610</v>
      </c>
      <c r="C243" s="56" t="s">
        <v>16</v>
      </c>
      <c r="D243" s="51">
        <v>0.5</v>
      </c>
      <c r="E243" s="57">
        <f>(G242)</f>
        <v>10.350000000000001</v>
      </c>
      <c r="F243" s="58">
        <v>2.7</v>
      </c>
      <c r="G243" s="59">
        <f>+((E243-F243)*G240*(0.5172)/D243)</f>
        <v>7.7580000000000009</v>
      </c>
      <c r="H243" s="51" t="s">
        <v>67</v>
      </c>
    </row>
    <row r="244" spans="2:8" ht="15.75" x14ac:dyDescent="0.25">
      <c r="B244" s="55">
        <v>44610</v>
      </c>
      <c r="C244" s="56" t="s">
        <v>16</v>
      </c>
      <c r="D244" s="51">
        <v>0.5</v>
      </c>
      <c r="E244" s="57">
        <f>(G242)</f>
        <v>10.350000000000001</v>
      </c>
      <c r="F244" s="58">
        <v>6.8</v>
      </c>
      <c r="G244" s="59">
        <f>+((E244-F244)*G240*(0.5172)/D244)</f>
        <v>3.6001176470588248</v>
      </c>
      <c r="H244" s="51" t="s">
        <v>68</v>
      </c>
    </row>
    <row r="245" spans="2:8" ht="15.75" x14ac:dyDescent="0.25">
      <c r="B245" s="55">
        <v>44610</v>
      </c>
      <c r="C245" s="51" t="s">
        <v>16</v>
      </c>
      <c r="D245" s="58">
        <v>1</v>
      </c>
      <c r="E245" s="57">
        <f>(G242)</f>
        <v>10.350000000000001</v>
      </c>
      <c r="F245" s="58">
        <v>7.7</v>
      </c>
      <c r="G245" s="99">
        <f>+((E245-F245)*G240*(0.5172)/D245)</f>
        <v>1.3437058823529417</v>
      </c>
      <c r="H245" s="51" t="s">
        <v>69</v>
      </c>
    </row>
    <row r="246" spans="2:8" ht="15.75" x14ac:dyDescent="0.25">
      <c r="B246" s="55"/>
      <c r="C246" s="127" t="s">
        <v>201</v>
      </c>
      <c r="D246" s="58">
        <v>0.5</v>
      </c>
      <c r="E246" s="57">
        <v>10.350000000000001</v>
      </c>
      <c r="F246" s="91">
        <v>8.1999999999999993</v>
      </c>
      <c r="G246" s="100">
        <f>+((E246-F246)*$G$240*(0.5172)/D246)</f>
        <v>2.1803529411764724</v>
      </c>
      <c r="H246" s="95"/>
    </row>
    <row r="247" spans="2:8" ht="15.75" x14ac:dyDescent="0.25">
      <c r="C247" s="127" t="s">
        <v>202</v>
      </c>
      <c r="D247" s="58">
        <v>0.5</v>
      </c>
      <c r="E247" s="57">
        <v>10.350000000000001</v>
      </c>
      <c r="F247" s="58">
        <v>8.3000000000000007</v>
      </c>
      <c r="G247" s="100">
        <f t="shared" ref="G247:G284" si="9">+((E247-F247)*$G$240*(0.5172)/D247)</f>
        <v>2.0789411764705887</v>
      </c>
    </row>
    <row r="248" spans="2:8" ht="15.75" x14ac:dyDescent="0.25">
      <c r="C248" s="127" t="s">
        <v>203</v>
      </c>
      <c r="D248" s="58">
        <v>0.5</v>
      </c>
      <c r="E248" s="57">
        <v>10.350000000000001</v>
      </c>
      <c r="F248" s="58">
        <v>7.3</v>
      </c>
      <c r="G248" s="100">
        <f t="shared" si="9"/>
        <v>3.0930588235294132</v>
      </c>
    </row>
    <row r="249" spans="2:8" ht="15.75" x14ac:dyDescent="0.25">
      <c r="C249" s="127" t="s">
        <v>204</v>
      </c>
      <c r="D249" s="58">
        <v>0.5</v>
      </c>
      <c r="E249" s="57">
        <v>10.350000000000001</v>
      </c>
      <c r="F249" s="58">
        <v>8.5</v>
      </c>
      <c r="G249" s="100">
        <f t="shared" si="9"/>
        <v>1.8761176470588248</v>
      </c>
    </row>
    <row r="250" spans="2:8" ht="15.75" x14ac:dyDescent="0.25">
      <c r="C250" s="127" t="s">
        <v>205</v>
      </c>
      <c r="D250" s="58">
        <v>0.5</v>
      </c>
      <c r="E250" s="57">
        <v>10.350000000000001</v>
      </c>
      <c r="F250" s="58">
        <v>7.9</v>
      </c>
      <c r="G250" s="100">
        <f t="shared" si="9"/>
        <v>2.4845882352941184</v>
      </c>
    </row>
    <row r="251" spans="2:8" ht="15.75" x14ac:dyDescent="0.25">
      <c r="C251" s="127" t="s">
        <v>206</v>
      </c>
      <c r="D251" s="58">
        <v>0.5</v>
      </c>
      <c r="E251" s="57">
        <v>10.350000000000001</v>
      </c>
      <c r="F251" s="58">
        <v>8.3000000000000007</v>
      </c>
      <c r="G251" s="100">
        <f t="shared" si="9"/>
        <v>2.0789411764705887</v>
      </c>
    </row>
    <row r="252" spans="2:8" ht="15.75" x14ac:dyDescent="0.25">
      <c r="C252" s="127" t="s">
        <v>207</v>
      </c>
      <c r="D252" s="58">
        <v>0.5</v>
      </c>
      <c r="E252" s="57">
        <v>10.350000000000001</v>
      </c>
      <c r="F252" s="58">
        <v>8.5</v>
      </c>
      <c r="G252" s="100">
        <f t="shared" si="9"/>
        <v>1.8761176470588248</v>
      </c>
    </row>
    <row r="253" spans="2:8" ht="15.75" x14ac:dyDescent="0.25">
      <c r="C253" s="127" t="s">
        <v>208</v>
      </c>
      <c r="D253" s="58">
        <v>0.5</v>
      </c>
      <c r="E253" s="57">
        <v>10.350000000000001</v>
      </c>
      <c r="F253" s="58">
        <v>8.1999999999999993</v>
      </c>
      <c r="G253" s="100">
        <f t="shared" si="9"/>
        <v>2.1803529411764724</v>
      </c>
    </row>
    <row r="254" spans="2:8" ht="15.75" x14ac:dyDescent="0.25">
      <c r="C254" s="127" t="s">
        <v>209</v>
      </c>
      <c r="D254" s="58">
        <v>0.5</v>
      </c>
      <c r="E254" s="57">
        <v>10.350000000000001</v>
      </c>
      <c r="F254" s="58">
        <v>8.6999999999999993</v>
      </c>
      <c r="G254" s="100">
        <f t="shared" si="9"/>
        <v>1.6732941176470608</v>
      </c>
    </row>
    <row r="255" spans="2:8" ht="15.75" x14ac:dyDescent="0.25">
      <c r="C255" s="127" t="s">
        <v>210</v>
      </c>
      <c r="D255" s="58">
        <v>0.5</v>
      </c>
      <c r="E255" s="57">
        <v>10.350000000000001</v>
      </c>
      <c r="F255" s="58">
        <v>8.1</v>
      </c>
      <c r="G255" s="100">
        <f t="shared" si="9"/>
        <v>2.2817647058823542</v>
      </c>
    </row>
    <row r="256" spans="2:8" ht="15.75" x14ac:dyDescent="0.25">
      <c r="C256" s="127" t="s">
        <v>211</v>
      </c>
      <c r="D256" s="58">
        <v>0.5</v>
      </c>
      <c r="E256" s="57">
        <v>10.350000000000001</v>
      </c>
      <c r="F256" s="58">
        <v>8.9</v>
      </c>
      <c r="G256" s="100">
        <f t="shared" si="9"/>
        <v>1.4704705882352951</v>
      </c>
    </row>
    <row r="257" spans="3:7" ht="15.75" x14ac:dyDescent="0.25">
      <c r="C257" s="127" t="s">
        <v>212</v>
      </c>
      <c r="D257" s="58">
        <v>0.5</v>
      </c>
      <c r="E257" s="57">
        <v>10.350000000000001</v>
      </c>
      <c r="F257" s="58">
        <v>9.1</v>
      </c>
      <c r="G257" s="100">
        <f t="shared" si="9"/>
        <v>1.2676470588235311</v>
      </c>
    </row>
    <row r="258" spans="3:7" ht="15.75" x14ac:dyDescent="0.25">
      <c r="C258" s="127" t="s">
        <v>213</v>
      </c>
      <c r="D258" s="58">
        <v>0.5</v>
      </c>
      <c r="E258" s="57">
        <v>10.350000000000001</v>
      </c>
      <c r="F258" s="58">
        <v>8.4</v>
      </c>
      <c r="G258" s="100">
        <f t="shared" si="9"/>
        <v>1.9775294117647069</v>
      </c>
    </row>
    <row r="259" spans="3:7" ht="15.75" x14ac:dyDescent="0.25">
      <c r="C259" s="127" t="s">
        <v>214</v>
      </c>
      <c r="D259" s="58">
        <v>0.5</v>
      </c>
      <c r="E259" s="57">
        <v>10.350000000000001</v>
      </c>
      <c r="F259" s="58">
        <v>9.1999999999999993</v>
      </c>
      <c r="G259" s="100">
        <f t="shared" si="9"/>
        <v>1.166235294117649</v>
      </c>
    </row>
    <row r="260" spans="3:7" ht="15.75" x14ac:dyDescent="0.25">
      <c r="C260" s="127" t="s">
        <v>215</v>
      </c>
      <c r="D260" s="58">
        <v>0.5</v>
      </c>
      <c r="E260" s="57">
        <v>10.350000000000001</v>
      </c>
      <c r="F260" s="58">
        <v>8.4</v>
      </c>
      <c r="G260" s="100">
        <f t="shared" si="9"/>
        <v>1.9775294117647069</v>
      </c>
    </row>
    <row r="261" spans="3:7" ht="15.75" x14ac:dyDescent="0.25">
      <c r="C261" s="127" t="s">
        <v>216</v>
      </c>
      <c r="D261" s="58">
        <v>0.5</v>
      </c>
      <c r="E261" s="57">
        <v>10.350000000000001</v>
      </c>
      <c r="F261" s="58">
        <v>8</v>
      </c>
      <c r="G261" s="100">
        <f t="shared" si="9"/>
        <v>2.3831764705882366</v>
      </c>
    </row>
    <row r="262" spans="3:7" ht="15.75" x14ac:dyDescent="0.25">
      <c r="C262" s="127" t="s">
        <v>217</v>
      </c>
      <c r="D262" s="58">
        <v>0.5</v>
      </c>
      <c r="E262" s="57">
        <v>10.350000000000001</v>
      </c>
      <c r="F262" s="58">
        <v>8.3000000000000007</v>
      </c>
      <c r="G262" s="100">
        <f t="shared" si="9"/>
        <v>2.0789411764705887</v>
      </c>
    </row>
    <row r="263" spans="3:7" ht="15.75" x14ac:dyDescent="0.25">
      <c r="C263" s="127" t="s">
        <v>218</v>
      </c>
      <c r="D263" s="58">
        <v>0.5</v>
      </c>
      <c r="E263" s="57">
        <v>10.350000000000001</v>
      </c>
      <c r="F263" s="58">
        <v>7.9</v>
      </c>
      <c r="G263" s="100">
        <f t="shared" si="9"/>
        <v>2.4845882352941184</v>
      </c>
    </row>
    <row r="264" spans="3:7" ht="15.75" x14ac:dyDescent="0.25">
      <c r="C264" s="127" t="s">
        <v>219</v>
      </c>
      <c r="D264" s="58">
        <v>0.5</v>
      </c>
      <c r="E264" s="57">
        <v>10.350000000000001</v>
      </c>
      <c r="F264" s="58">
        <v>8.4</v>
      </c>
      <c r="G264" s="100">
        <f t="shared" si="9"/>
        <v>1.9775294117647069</v>
      </c>
    </row>
    <row r="265" spans="3:7" ht="15.75" x14ac:dyDescent="0.25">
      <c r="C265" s="127" t="s">
        <v>220</v>
      </c>
      <c r="D265" s="58">
        <v>0.5</v>
      </c>
      <c r="E265" s="57">
        <v>10.350000000000001</v>
      </c>
      <c r="F265" s="58">
        <v>8.6</v>
      </c>
      <c r="G265" s="100">
        <f t="shared" si="9"/>
        <v>1.7747058823529429</v>
      </c>
    </row>
    <row r="266" spans="3:7" ht="15.75" x14ac:dyDescent="0.25">
      <c r="C266" s="126" t="s">
        <v>221</v>
      </c>
      <c r="D266" s="58">
        <v>1</v>
      </c>
      <c r="E266" s="57">
        <v>10.350000000000001</v>
      </c>
      <c r="F266" s="58">
        <v>7.9</v>
      </c>
      <c r="G266" s="93">
        <f t="shared" si="9"/>
        <v>1.2422941176470592</v>
      </c>
    </row>
    <row r="267" spans="3:7" ht="15.75" x14ac:dyDescent="0.25">
      <c r="C267" s="127" t="s">
        <v>222</v>
      </c>
      <c r="D267" s="58">
        <v>0.5</v>
      </c>
      <c r="E267" s="57">
        <v>10.350000000000001</v>
      </c>
      <c r="F267" s="58">
        <v>9</v>
      </c>
      <c r="G267" s="100">
        <f t="shared" si="9"/>
        <v>1.369058823529413</v>
      </c>
    </row>
    <row r="268" spans="3:7" ht="15.75" x14ac:dyDescent="0.25">
      <c r="C268" s="127" t="s">
        <v>223</v>
      </c>
      <c r="D268" s="58">
        <v>0.5</v>
      </c>
      <c r="E268" s="57">
        <v>10.350000000000001</v>
      </c>
      <c r="F268" s="58">
        <v>7.3</v>
      </c>
      <c r="G268" s="100">
        <f t="shared" si="9"/>
        <v>3.0930588235294132</v>
      </c>
    </row>
    <row r="269" spans="3:7" ht="15.75" x14ac:dyDescent="0.25">
      <c r="C269" s="127" t="s">
        <v>224</v>
      </c>
      <c r="D269" s="58">
        <v>0.5</v>
      </c>
      <c r="E269" s="57">
        <v>10.350000000000001</v>
      </c>
      <c r="F269" s="58">
        <v>4.5</v>
      </c>
      <c r="G269" s="100">
        <f t="shared" si="9"/>
        <v>5.9325882352941184</v>
      </c>
    </row>
    <row r="270" spans="3:7" ht="15.75" x14ac:dyDescent="0.25">
      <c r="C270" s="127" t="s">
        <v>225</v>
      </c>
      <c r="D270" s="58">
        <v>0.5</v>
      </c>
      <c r="E270" s="57">
        <v>10.350000000000001</v>
      </c>
      <c r="F270" s="58">
        <v>7.7</v>
      </c>
      <c r="G270" s="100">
        <f t="shared" si="9"/>
        <v>2.6874117647058835</v>
      </c>
    </row>
    <row r="271" spans="3:7" ht="15.75" x14ac:dyDescent="0.25">
      <c r="C271" s="127" t="s">
        <v>226</v>
      </c>
      <c r="D271" s="58">
        <v>0.5</v>
      </c>
      <c r="E271" s="57">
        <v>10.350000000000001</v>
      </c>
      <c r="F271" s="58">
        <v>8.8000000000000007</v>
      </c>
      <c r="G271" s="100">
        <f t="shared" si="9"/>
        <v>1.5718823529411772</v>
      </c>
    </row>
    <row r="272" spans="3:7" ht="15.75" x14ac:dyDescent="0.25">
      <c r="C272" s="127" t="s">
        <v>227</v>
      </c>
      <c r="D272" s="58">
        <v>0.5</v>
      </c>
      <c r="E272" s="57">
        <v>10.350000000000001</v>
      </c>
      <c r="F272" s="58">
        <v>6.6</v>
      </c>
      <c r="G272" s="100">
        <f t="shared" si="9"/>
        <v>3.8029411764705898</v>
      </c>
    </row>
    <row r="273" spans="2:8" ht="15.75" x14ac:dyDescent="0.25">
      <c r="C273" s="127" t="s">
        <v>228</v>
      </c>
      <c r="D273" s="58">
        <v>0.5</v>
      </c>
      <c r="E273" s="57">
        <v>10.350000000000001</v>
      </c>
      <c r="F273" s="58">
        <v>8</v>
      </c>
      <c r="G273" s="100">
        <f t="shared" si="9"/>
        <v>2.3831764705882366</v>
      </c>
    </row>
    <row r="274" spans="2:8" ht="15.75" x14ac:dyDescent="0.25">
      <c r="C274" s="127" t="s">
        <v>229</v>
      </c>
      <c r="D274" s="58">
        <v>0.5</v>
      </c>
      <c r="E274" s="57">
        <v>10.350000000000001</v>
      </c>
      <c r="F274" s="58">
        <v>6.6</v>
      </c>
      <c r="G274" s="100">
        <f t="shared" si="9"/>
        <v>3.8029411764705898</v>
      </c>
    </row>
    <row r="275" spans="2:8" ht="15.75" x14ac:dyDescent="0.25">
      <c r="C275" s="127" t="s">
        <v>230</v>
      </c>
      <c r="D275" s="58">
        <v>0.5</v>
      </c>
      <c r="E275" s="57">
        <v>10.350000000000001</v>
      </c>
      <c r="F275" s="58">
        <v>8.1999999999999993</v>
      </c>
      <c r="G275" s="100">
        <f t="shared" si="9"/>
        <v>2.1803529411764724</v>
      </c>
    </row>
    <row r="276" spans="2:8" ht="15.75" x14ac:dyDescent="0.25">
      <c r="C276" s="127" t="s">
        <v>231</v>
      </c>
      <c r="D276" s="58">
        <v>0.5</v>
      </c>
      <c r="E276" s="57">
        <v>10.350000000000001</v>
      </c>
      <c r="F276" s="58">
        <v>8.5</v>
      </c>
      <c r="G276" s="100">
        <f t="shared" si="9"/>
        <v>1.8761176470588248</v>
      </c>
    </row>
    <row r="277" spans="2:8" ht="15.75" x14ac:dyDescent="0.25">
      <c r="C277" s="127" t="s">
        <v>232</v>
      </c>
      <c r="D277" s="58">
        <v>0.5</v>
      </c>
      <c r="E277" s="57">
        <v>10.350000000000001</v>
      </c>
      <c r="F277" s="58">
        <v>7.5</v>
      </c>
      <c r="G277" s="100">
        <f t="shared" si="9"/>
        <v>2.8902352941176481</v>
      </c>
    </row>
    <row r="278" spans="2:8" ht="15.75" x14ac:dyDescent="0.25">
      <c r="C278" s="127" t="s">
        <v>233</v>
      </c>
      <c r="D278" s="58">
        <v>0.5</v>
      </c>
      <c r="E278" s="57">
        <v>10.350000000000001</v>
      </c>
      <c r="F278" s="58">
        <v>8.6</v>
      </c>
      <c r="G278" s="100">
        <f t="shared" si="9"/>
        <v>1.7747058823529429</v>
      </c>
    </row>
    <row r="279" spans="2:8" ht="15.75" x14ac:dyDescent="0.25">
      <c r="C279" s="127" t="s">
        <v>234</v>
      </c>
      <c r="D279" s="58">
        <v>0.5</v>
      </c>
      <c r="E279" s="57">
        <v>10.350000000000001</v>
      </c>
      <c r="F279" s="58">
        <v>7.1</v>
      </c>
      <c r="G279" s="100">
        <f t="shared" si="9"/>
        <v>3.2958823529411778</v>
      </c>
    </row>
    <row r="280" spans="2:8" ht="15.75" x14ac:dyDescent="0.25">
      <c r="C280" s="127" t="s">
        <v>235</v>
      </c>
      <c r="D280" s="58">
        <v>0.5</v>
      </c>
      <c r="E280" s="57">
        <v>10.350000000000001</v>
      </c>
      <c r="F280" s="58">
        <v>8.5</v>
      </c>
      <c r="G280" s="100">
        <f t="shared" si="9"/>
        <v>1.8761176470588248</v>
      </c>
    </row>
    <row r="281" spans="2:8" ht="15.75" x14ac:dyDescent="0.25">
      <c r="C281" s="127" t="s">
        <v>236</v>
      </c>
      <c r="D281" s="58">
        <v>0.5</v>
      </c>
      <c r="E281" s="57">
        <v>10.350000000000001</v>
      </c>
      <c r="F281" s="58">
        <v>7.3</v>
      </c>
      <c r="G281" s="100">
        <f t="shared" si="9"/>
        <v>3.0930588235294132</v>
      </c>
    </row>
    <row r="282" spans="2:8" ht="15.75" x14ac:dyDescent="0.25">
      <c r="C282" s="127" t="s">
        <v>237</v>
      </c>
      <c r="D282" s="58">
        <v>0.5</v>
      </c>
      <c r="E282" s="57">
        <v>10.350000000000001</v>
      </c>
      <c r="F282" s="58">
        <v>8.5</v>
      </c>
      <c r="G282" s="100">
        <f t="shared" si="9"/>
        <v>1.8761176470588248</v>
      </c>
    </row>
    <row r="283" spans="2:8" ht="15.75" x14ac:dyDescent="0.25">
      <c r="C283" s="127" t="s">
        <v>238</v>
      </c>
      <c r="D283" s="58">
        <v>0.5</v>
      </c>
      <c r="E283" s="57">
        <v>10.350000000000001</v>
      </c>
      <c r="F283" s="58">
        <v>7.9</v>
      </c>
      <c r="G283" s="100">
        <f t="shared" si="9"/>
        <v>2.4845882352941184</v>
      </c>
    </row>
    <row r="284" spans="2:8" ht="15.75" x14ac:dyDescent="0.25">
      <c r="C284" s="127" t="s">
        <v>239</v>
      </c>
      <c r="D284" s="58">
        <v>0.5</v>
      </c>
      <c r="E284" s="57">
        <v>10.350000000000001</v>
      </c>
      <c r="F284" s="58">
        <v>2.6</v>
      </c>
      <c r="G284" s="100">
        <f t="shared" si="9"/>
        <v>7.8594117647058841</v>
      </c>
    </row>
    <row r="285" spans="2:8" ht="15.75" x14ac:dyDescent="0.25">
      <c r="G285" s="100"/>
    </row>
    <row r="286" spans="2:8" ht="20.25" thickBot="1" x14ac:dyDescent="0.45">
      <c r="B286" s="40" t="s">
        <v>62</v>
      </c>
      <c r="C286" s="40" t="s">
        <v>62</v>
      </c>
      <c r="D286" s="41" t="s">
        <v>63</v>
      </c>
      <c r="E286" s="42"/>
      <c r="F286" s="43"/>
      <c r="G286" s="44" t="s">
        <v>64</v>
      </c>
      <c r="H286" s="45"/>
    </row>
    <row r="287" spans="2:8" ht="16.5" thickBot="1" x14ac:dyDescent="0.35">
      <c r="B287" s="46">
        <v>1.02</v>
      </c>
      <c r="C287" s="46">
        <v>1.02</v>
      </c>
      <c r="D287" s="47">
        <f>(B287+C287)/2</f>
        <v>1.02</v>
      </c>
      <c r="E287" s="48"/>
      <c r="F287" s="48"/>
      <c r="G287" s="49">
        <f>(1*1)/D287</f>
        <v>0.98039215686274506</v>
      </c>
      <c r="H287" s="48"/>
    </row>
    <row r="288" spans="2:8" ht="16.5" thickBot="1" x14ac:dyDescent="0.3">
      <c r="B288" s="50" t="s">
        <v>65</v>
      </c>
      <c r="C288" s="76" t="s">
        <v>65</v>
      </c>
      <c r="D288" s="76" t="s">
        <v>65</v>
      </c>
      <c r="E288" s="51"/>
      <c r="F288" s="76" t="s">
        <v>66</v>
      </c>
      <c r="G288" s="76"/>
      <c r="H288" s="76"/>
    </row>
    <row r="289" spans="2:8" ht="15.75" x14ac:dyDescent="0.3">
      <c r="B289" s="77">
        <v>10.4</v>
      </c>
      <c r="C289" s="77">
        <v>10.5</v>
      </c>
      <c r="D289" s="47"/>
      <c r="E289" s="52"/>
      <c r="F289" s="52"/>
      <c r="G289" s="98">
        <f>(B289+C289+D289)/2</f>
        <v>10.45</v>
      </c>
      <c r="H289" s="54"/>
    </row>
    <row r="290" spans="2:8" ht="15.75" x14ac:dyDescent="0.25">
      <c r="B290" s="55">
        <v>44610</v>
      </c>
      <c r="C290" s="56" t="s">
        <v>16</v>
      </c>
      <c r="D290" s="51">
        <v>0.5</v>
      </c>
      <c r="E290" s="57">
        <f>(G289)</f>
        <v>10.45</v>
      </c>
      <c r="F290" s="58">
        <v>2.9</v>
      </c>
      <c r="G290" s="59">
        <f>+((E290-F290)*G287*(0.5172)/D290)</f>
        <v>7.6565882352941159</v>
      </c>
      <c r="H290" s="51" t="s">
        <v>67</v>
      </c>
    </row>
    <row r="291" spans="2:8" ht="15.75" x14ac:dyDescent="0.25">
      <c r="B291" s="55">
        <v>44610</v>
      </c>
      <c r="C291" s="56" t="s">
        <v>16</v>
      </c>
      <c r="D291" s="51">
        <v>0.5</v>
      </c>
      <c r="E291" s="57">
        <f>(G289)</f>
        <v>10.45</v>
      </c>
      <c r="F291" s="58">
        <v>7</v>
      </c>
      <c r="G291" s="59">
        <f>+((E291-F291)*G287*(0.5172)/D291)</f>
        <v>3.4987058823529402</v>
      </c>
      <c r="H291" s="51" t="s">
        <v>68</v>
      </c>
    </row>
    <row r="292" spans="2:8" ht="15.75" x14ac:dyDescent="0.25">
      <c r="B292" s="55">
        <v>44610</v>
      </c>
      <c r="C292" s="51" t="s">
        <v>16</v>
      </c>
      <c r="D292" s="58">
        <v>1</v>
      </c>
      <c r="E292" s="57">
        <f>(G289)</f>
        <v>10.45</v>
      </c>
      <c r="F292" s="58">
        <v>8</v>
      </c>
      <c r="G292" s="99">
        <f>+((E292-F292)*G287*(0.5172)/D292)</f>
        <v>1.2422941176470583</v>
      </c>
      <c r="H292" s="51" t="s">
        <v>69</v>
      </c>
    </row>
    <row r="293" spans="2:8" ht="15.75" x14ac:dyDescent="0.25">
      <c r="B293" s="55"/>
      <c r="C293" s="127" t="s">
        <v>240</v>
      </c>
      <c r="D293" s="58">
        <v>0.5</v>
      </c>
      <c r="E293" s="57">
        <v>10.45</v>
      </c>
      <c r="F293" s="91">
        <v>7.8</v>
      </c>
      <c r="G293" s="100">
        <f>+((E293-F293)*$G$240*(0.5172)/D293)</f>
        <v>2.6874117647058813</v>
      </c>
      <c r="H293" s="95"/>
    </row>
    <row r="294" spans="2:8" ht="15.75" x14ac:dyDescent="0.25">
      <c r="C294" s="127" t="s">
        <v>241</v>
      </c>
      <c r="D294" s="58">
        <v>0.5</v>
      </c>
      <c r="E294" s="57">
        <v>10.45</v>
      </c>
      <c r="F294" s="58">
        <v>6</v>
      </c>
      <c r="G294" s="100">
        <f t="shared" ref="G294:G327" si="10">+((E294-F294)*$G$240*(0.5172)/D294)</f>
        <v>4.5128235294117633</v>
      </c>
    </row>
    <row r="295" spans="2:8" ht="15.75" x14ac:dyDescent="0.25">
      <c r="C295" s="127" t="s">
        <v>242</v>
      </c>
      <c r="D295" s="58">
        <v>0.5</v>
      </c>
      <c r="E295" s="57">
        <v>10.45</v>
      </c>
      <c r="F295" s="58">
        <v>4.5999999999999996</v>
      </c>
      <c r="G295" s="100">
        <f t="shared" si="10"/>
        <v>5.9325882352941166</v>
      </c>
    </row>
    <row r="296" spans="2:8" ht="15.75" x14ac:dyDescent="0.25">
      <c r="C296" s="127" t="s">
        <v>243</v>
      </c>
      <c r="D296" s="58">
        <v>0.5</v>
      </c>
      <c r="E296" s="57">
        <v>10.45</v>
      </c>
      <c r="F296" s="58">
        <v>8.3000000000000007</v>
      </c>
      <c r="G296" s="100">
        <f t="shared" si="10"/>
        <v>2.1803529411764693</v>
      </c>
    </row>
    <row r="297" spans="2:8" ht="15.75" x14ac:dyDescent="0.25">
      <c r="C297" s="127" t="s">
        <v>244</v>
      </c>
      <c r="D297" s="58">
        <v>0.5</v>
      </c>
      <c r="E297" s="57">
        <v>10.45</v>
      </c>
      <c r="F297" s="58">
        <v>4.8</v>
      </c>
      <c r="G297" s="100">
        <f t="shared" si="10"/>
        <v>5.729764705882352</v>
      </c>
    </row>
    <row r="298" spans="2:8" ht="15.75" x14ac:dyDescent="0.25">
      <c r="C298" s="127" t="s">
        <v>245</v>
      </c>
      <c r="D298" s="58">
        <v>0.5</v>
      </c>
      <c r="E298" s="57">
        <v>10.45</v>
      </c>
      <c r="F298" s="58">
        <v>7.3</v>
      </c>
      <c r="G298" s="100">
        <f t="shared" si="10"/>
        <v>3.1944705882352933</v>
      </c>
    </row>
    <row r="299" spans="2:8" ht="15.75" x14ac:dyDescent="0.25">
      <c r="C299" s="127" t="s">
        <v>246</v>
      </c>
      <c r="D299" s="58">
        <v>0.5</v>
      </c>
      <c r="E299" s="57">
        <v>10.45</v>
      </c>
      <c r="F299" s="58">
        <v>5.9</v>
      </c>
      <c r="G299" s="100">
        <f t="shared" si="10"/>
        <v>4.6142352941176457</v>
      </c>
    </row>
    <row r="300" spans="2:8" ht="15.75" x14ac:dyDescent="0.25">
      <c r="C300" s="127" t="s">
        <v>247</v>
      </c>
      <c r="D300" s="58">
        <v>0.5</v>
      </c>
      <c r="E300" s="57">
        <v>10.45</v>
      </c>
      <c r="F300" s="58">
        <v>7.6</v>
      </c>
      <c r="G300" s="100">
        <f t="shared" si="10"/>
        <v>2.8902352941176463</v>
      </c>
    </row>
    <row r="301" spans="2:8" ht="15.75" x14ac:dyDescent="0.25">
      <c r="C301" s="127" t="s">
        <v>248</v>
      </c>
      <c r="D301" s="58">
        <v>0.5</v>
      </c>
      <c r="E301" s="57">
        <v>10.45</v>
      </c>
      <c r="F301" s="58">
        <v>7.9</v>
      </c>
      <c r="G301" s="100">
        <f t="shared" si="10"/>
        <v>2.5859999999999985</v>
      </c>
    </row>
    <row r="302" spans="2:8" ht="15.75" x14ac:dyDescent="0.25">
      <c r="C302" s="127" t="s">
        <v>249</v>
      </c>
      <c r="D302" s="58">
        <v>0.5</v>
      </c>
      <c r="E302" s="57">
        <v>10.45</v>
      </c>
      <c r="F302" s="58">
        <v>9.1</v>
      </c>
      <c r="G302" s="100">
        <f t="shared" si="10"/>
        <v>1.3690588235294112</v>
      </c>
    </row>
    <row r="303" spans="2:8" ht="15.75" x14ac:dyDescent="0.25">
      <c r="C303" s="127" t="s">
        <v>250</v>
      </c>
      <c r="D303" s="58">
        <v>0.5</v>
      </c>
      <c r="E303" s="57">
        <v>10.45</v>
      </c>
      <c r="F303" s="58">
        <v>8.1</v>
      </c>
      <c r="G303" s="100">
        <f t="shared" si="10"/>
        <v>2.3831764705882348</v>
      </c>
    </row>
    <row r="304" spans="2:8" ht="15.75" x14ac:dyDescent="0.25">
      <c r="C304" s="127" t="s">
        <v>251</v>
      </c>
      <c r="D304" s="58">
        <v>0.5</v>
      </c>
      <c r="E304" s="57">
        <v>10.45</v>
      </c>
      <c r="F304" s="58">
        <v>0.8</v>
      </c>
      <c r="G304" s="100">
        <f t="shared" si="10"/>
        <v>9.7862352941176454</v>
      </c>
    </row>
    <row r="305" spans="3:7" ht="15.75" x14ac:dyDescent="0.25">
      <c r="C305" s="127" t="s">
        <v>252</v>
      </c>
      <c r="D305" s="58">
        <v>0.5</v>
      </c>
      <c r="E305" s="57">
        <v>10.45</v>
      </c>
      <c r="F305" s="58">
        <v>7.7</v>
      </c>
      <c r="G305" s="100">
        <f t="shared" si="10"/>
        <v>2.7888235294117636</v>
      </c>
    </row>
    <row r="306" spans="3:7" ht="15.75" x14ac:dyDescent="0.25">
      <c r="C306" s="127" t="s">
        <v>253</v>
      </c>
      <c r="D306" s="58">
        <v>0.5</v>
      </c>
      <c r="E306" s="57">
        <v>10.45</v>
      </c>
      <c r="F306" s="58">
        <v>7.6</v>
      </c>
      <c r="G306" s="100">
        <f t="shared" si="10"/>
        <v>2.8902352941176463</v>
      </c>
    </row>
    <row r="307" spans="3:7" ht="15.75" x14ac:dyDescent="0.25">
      <c r="C307" s="127" t="s">
        <v>254</v>
      </c>
      <c r="D307" s="58">
        <v>0.5</v>
      </c>
      <c r="E307" s="57">
        <v>10.45</v>
      </c>
      <c r="F307" s="58">
        <v>7.7</v>
      </c>
      <c r="G307" s="100">
        <f t="shared" si="10"/>
        <v>2.7888235294117636</v>
      </c>
    </row>
    <row r="308" spans="3:7" ht="15.75" x14ac:dyDescent="0.25">
      <c r="C308" s="127" t="s">
        <v>255</v>
      </c>
      <c r="D308" s="58">
        <v>0.5</v>
      </c>
      <c r="E308" s="57">
        <v>10.45</v>
      </c>
      <c r="F308" s="58">
        <v>8.8000000000000007</v>
      </c>
      <c r="G308" s="100">
        <f t="shared" si="10"/>
        <v>1.6732941176470573</v>
      </c>
    </row>
    <row r="309" spans="3:7" ht="15.75" x14ac:dyDescent="0.25">
      <c r="C309" s="127" t="s">
        <v>256</v>
      </c>
      <c r="D309" s="58">
        <v>0.5</v>
      </c>
      <c r="E309" s="57">
        <v>10.45</v>
      </c>
      <c r="F309" s="58">
        <v>8.5</v>
      </c>
      <c r="G309" s="100">
        <f t="shared" si="10"/>
        <v>1.9775294117647051</v>
      </c>
    </row>
    <row r="310" spans="3:7" ht="15.75" x14ac:dyDescent="0.25">
      <c r="C310" s="127" t="s">
        <v>257</v>
      </c>
      <c r="D310" s="58">
        <v>0.5</v>
      </c>
      <c r="E310" s="57">
        <v>10.45</v>
      </c>
      <c r="F310" s="58">
        <v>7.7</v>
      </c>
      <c r="G310" s="100">
        <f t="shared" si="10"/>
        <v>2.7888235294117636</v>
      </c>
    </row>
    <row r="311" spans="3:7" ht="15.75" x14ac:dyDescent="0.25">
      <c r="C311" s="127" t="s">
        <v>258</v>
      </c>
      <c r="D311" s="58">
        <v>0.5</v>
      </c>
      <c r="E311" s="57">
        <v>10.45</v>
      </c>
      <c r="F311" s="58">
        <v>7.4</v>
      </c>
      <c r="G311" s="100">
        <f t="shared" si="10"/>
        <v>3.0930588235294105</v>
      </c>
    </row>
    <row r="312" spans="3:7" ht="15.75" x14ac:dyDescent="0.25">
      <c r="C312" s="127" t="s">
        <v>259</v>
      </c>
      <c r="D312" s="58">
        <v>0.5</v>
      </c>
      <c r="E312" s="57">
        <v>10.45</v>
      </c>
      <c r="F312" s="58">
        <v>8.1</v>
      </c>
      <c r="G312" s="100">
        <f t="shared" si="10"/>
        <v>2.3831764705882348</v>
      </c>
    </row>
    <row r="313" spans="3:7" ht="15.75" x14ac:dyDescent="0.25">
      <c r="C313" s="126" t="s">
        <v>221</v>
      </c>
      <c r="D313" s="58">
        <v>1</v>
      </c>
      <c r="E313" s="57">
        <v>10.45</v>
      </c>
      <c r="F313" s="58">
        <v>7.8</v>
      </c>
      <c r="G313" s="93">
        <f t="shared" si="10"/>
        <v>1.3437058823529406</v>
      </c>
    </row>
    <row r="314" spans="3:7" ht="15.75" x14ac:dyDescent="0.25">
      <c r="C314" s="127" t="s">
        <v>260</v>
      </c>
      <c r="D314" s="58">
        <v>0.5</v>
      </c>
      <c r="E314" s="57">
        <v>10.45</v>
      </c>
      <c r="F314" s="58">
        <v>7.9</v>
      </c>
      <c r="G314" s="100">
        <f t="shared" si="10"/>
        <v>2.5859999999999985</v>
      </c>
    </row>
    <row r="315" spans="3:7" ht="15.75" x14ac:dyDescent="0.25">
      <c r="C315" s="127" t="s">
        <v>261</v>
      </c>
      <c r="D315" s="58">
        <v>0.5</v>
      </c>
      <c r="E315" s="57">
        <v>10.45</v>
      </c>
      <c r="F315" s="58">
        <v>8.9</v>
      </c>
      <c r="G315" s="100">
        <f t="shared" si="10"/>
        <v>1.5718823529411752</v>
      </c>
    </row>
    <row r="316" spans="3:7" ht="15.75" x14ac:dyDescent="0.25">
      <c r="C316" s="127" t="s">
        <v>262</v>
      </c>
      <c r="D316" s="58">
        <v>0.5</v>
      </c>
      <c r="E316" s="57">
        <v>10.45</v>
      </c>
      <c r="F316" s="58">
        <v>8.5</v>
      </c>
      <c r="G316" s="100">
        <f t="shared" si="10"/>
        <v>1.9775294117647051</v>
      </c>
    </row>
    <row r="317" spans="3:7" ht="15.75" x14ac:dyDescent="0.25">
      <c r="C317" s="127" t="s">
        <v>263</v>
      </c>
      <c r="D317" s="58">
        <v>0.5</v>
      </c>
      <c r="E317" s="57">
        <v>10.45</v>
      </c>
      <c r="F317" s="58">
        <v>7.7</v>
      </c>
      <c r="G317" s="100">
        <f t="shared" si="10"/>
        <v>2.7888235294117636</v>
      </c>
    </row>
    <row r="318" spans="3:7" ht="15.75" x14ac:dyDescent="0.25">
      <c r="C318" s="127" t="s">
        <v>264</v>
      </c>
      <c r="D318" s="58">
        <v>0.5</v>
      </c>
      <c r="E318" s="57">
        <v>10.45</v>
      </c>
      <c r="F318" s="58">
        <v>8.3000000000000007</v>
      </c>
      <c r="G318" s="100">
        <f t="shared" si="10"/>
        <v>2.1803529411764693</v>
      </c>
    </row>
    <row r="319" spans="3:7" ht="15.75" x14ac:dyDescent="0.25">
      <c r="C319" s="127" t="s">
        <v>265</v>
      </c>
      <c r="D319" s="58">
        <v>0.5</v>
      </c>
      <c r="E319" s="57">
        <v>10.45</v>
      </c>
      <c r="F319" s="58">
        <v>8.6999999999999993</v>
      </c>
      <c r="G319" s="100">
        <f t="shared" si="10"/>
        <v>1.7747058823529411</v>
      </c>
    </row>
    <row r="320" spans="3:7" ht="15.75" x14ac:dyDescent="0.25">
      <c r="C320" s="127" t="s">
        <v>266</v>
      </c>
      <c r="D320" s="58">
        <v>0.5</v>
      </c>
      <c r="E320" s="57">
        <v>10.45</v>
      </c>
      <c r="F320" s="58">
        <v>8.8000000000000007</v>
      </c>
      <c r="G320" s="100">
        <f t="shared" si="10"/>
        <v>1.6732941176470573</v>
      </c>
    </row>
    <row r="321" spans="2:8" ht="15.75" x14ac:dyDescent="0.25">
      <c r="C321" s="127" t="s">
        <v>267</v>
      </c>
      <c r="D321" s="58">
        <v>0.5</v>
      </c>
      <c r="E321" s="57">
        <v>10.45</v>
      </c>
      <c r="F321" s="58">
        <v>8.4</v>
      </c>
      <c r="G321" s="100">
        <f t="shared" si="10"/>
        <v>2.0789411764705874</v>
      </c>
    </row>
    <row r="322" spans="2:8" ht="15.75" x14ac:dyDescent="0.25">
      <c r="C322" s="127" t="s">
        <v>268</v>
      </c>
      <c r="D322" s="58">
        <v>0.5</v>
      </c>
      <c r="E322" s="57">
        <v>10.45</v>
      </c>
      <c r="F322" s="58">
        <v>8.3000000000000007</v>
      </c>
      <c r="G322" s="100">
        <f t="shared" si="10"/>
        <v>2.1803529411764693</v>
      </c>
    </row>
    <row r="323" spans="2:8" ht="15.75" x14ac:dyDescent="0.25">
      <c r="C323" s="127" t="s">
        <v>269</v>
      </c>
      <c r="D323" s="58">
        <v>0.5</v>
      </c>
      <c r="E323" s="57">
        <v>10.45</v>
      </c>
      <c r="F323" s="58">
        <v>8.3000000000000007</v>
      </c>
      <c r="G323" s="100">
        <f t="shared" si="10"/>
        <v>2.1803529411764693</v>
      </c>
    </row>
    <row r="324" spans="2:8" ht="15.75" x14ac:dyDescent="0.25">
      <c r="C324" s="127" t="s">
        <v>270</v>
      </c>
      <c r="D324" s="58">
        <v>0.5</v>
      </c>
      <c r="E324" s="57">
        <v>10.45</v>
      </c>
      <c r="F324" s="58">
        <v>8.1</v>
      </c>
      <c r="G324" s="100">
        <f t="shared" si="10"/>
        <v>2.3831764705882348</v>
      </c>
    </row>
    <row r="325" spans="2:8" ht="15.75" x14ac:dyDescent="0.25">
      <c r="C325" s="127" t="s">
        <v>271</v>
      </c>
      <c r="D325" s="58">
        <v>0.5</v>
      </c>
      <c r="E325" s="57">
        <v>10.45</v>
      </c>
      <c r="F325" s="58">
        <v>8.3000000000000007</v>
      </c>
      <c r="G325" s="100">
        <f t="shared" si="10"/>
        <v>2.1803529411764693</v>
      </c>
    </row>
    <row r="326" spans="2:8" ht="15.75" x14ac:dyDescent="0.25">
      <c r="C326" s="127" t="s">
        <v>272</v>
      </c>
      <c r="D326" s="58">
        <v>0.5</v>
      </c>
      <c r="E326" s="57">
        <v>10.45</v>
      </c>
      <c r="F326" s="58">
        <v>8.9</v>
      </c>
      <c r="G326" s="100">
        <f t="shared" si="10"/>
        <v>1.5718823529411752</v>
      </c>
    </row>
    <row r="327" spans="2:8" ht="15.75" x14ac:dyDescent="0.25">
      <c r="C327" s="127" t="s">
        <v>273</v>
      </c>
      <c r="D327" s="57">
        <v>0.25</v>
      </c>
      <c r="E327" s="57">
        <v>10.45</v>
      </c>
      <c r="F327" s="58">
        <v>8.9</v>
      </c>
      <c r="G327" s="100">
        <f t="shared" si="10"/>
        <v>3.1437647058823504</v>
      </c>
    </row>
    <row r="330" spans="2:8" ht="20.25" thickBot="1" x14ac:dyDescent="0.45">
      <c r="B330" s="40" t="s">
        <v>62</v>
      </c>
      <c r="C330" s="40" t="s">
        <v>62</v>
      </c>
      <c r="D330" s="41" t="s">
        <v>63</v>
      </c>
      <c r="E330" s="42"/>
      <c r="F330" s="43"/>
      <c r="G330" s="44" t="s">
        <v>64</v>
      </c>
      <c r="H330" s="45"/>
    </row>
    <row r="331" spans="2:8" ht="16.5" thickBot="1" x14ac:dyDescent="0.35">
      <c r="B331" s="46">
        <v>1.02</v>
      </c>
      <c r="C331" s="46">
        <v>1.02</v>
      </c>
      <c r="D331" s="47">
        <f>(B331+C331)/2</f>
        <v>1.02</v>
      </c>
      <c r="E331" s="48"/>
      <c r="F331" s="48"/>
      <c r="G331" s="49">
        <f>(1*1)/D331</f>
        <v>0.98039215686274506</v>
      </c>
      <c r="H331" s="48"/>
    </row>
    <row r="332" spans="2:8" ht="16.5" thickBot="1" x14ac:dyDescent="0.3">
      <c r="B332" s="50" t="s">
        <v>65</v>
      </c>
      <c r="C332" s="76" t="s">
        <v>65</v>
      </c>
      <c r="D332" s="76" t="s">
        <v>65</v>
      </c>
      <c r="E332" s="51"/>
      <c r="F332" s="76" t="s">
        <v>66</v>
      </c>
      <c r="G332" s="76"/>
      <c r="H332" s="76"/>
    </row>
    <row r="333" spans="2:8" ht="15.75" x14ac:dyDescent="0.3">
      <c r="B333" s="77">
        <v>10.4</v>
      </c>
      <c r="C333" s="77">
        <v>10.5</v>
      </c>
      <c r="D333" s="47"/>
      <c r="E333" s="52"/>
      <c r="F333" s="52"/>
      <c r="G333" s="98">
        <f>(B333+C333+D333)/2</f>
        <v>10.45</v>
      </c>
      <c r="H333" s="54"/>
    </row>
    <row r="334" spans="2:8" ht="15.75" x14ac:dyDescent="0.25">
      <c r="B334" s="55">
        <v>44610</v>
      </c>
      <c r="C334" s="56" t="s">
        <v>16</v>
      </c>
      <c r="D334" s="51">
        <v>0.5</v>
      </c>
      <c r="E334" s="57">
        <f>(G333)</f>
        <v>10.45</v>
      </c>
      <c r="F334" s="58">
        <v>2.9</v>
      </c>
      <c r="G334" s="59">
        <f>+((E334-F334)*G331*(0.5172)/D334)</f>
        <v>7.6565882352941159</v>
      </c>
      <c r="H334" s="51" t="s">
        <v>67</v>
      </c>
    </row>
    <row r="335" spans="2:8" ht="15.75" x14ac:dyDescent="0.25">
      <c r="B335" s="55">
        <v>44610</v>
      </c>
      <c r="C335" s="56" t="s">
        <v>16</v>
      </c>
      <c r="D335" s="51">
        <v>0.5</v>
      </c>
      <c r="E335" s="57">
        <f>(G333)</f>
        <v>10.45</v>
      </c>
      <c r="F335" s="58">
        <v>7</v>
      </c>
      <c r="G335" s="59">
        <f>+((E335-F335)*G331*(0.5172)/D335)</f>
        <v>3.4987058823529402</v>
      </c>
      <c r="H335" s="51" t="s">
        <v>68</v>
      </c>
    </row>
    <row r="336" spans="2:8" ht="15.75" x14ac:dyDescent="0.25">
      <c r="B336" s="55">
        <v>44610</v>
      </c>
      <c r="C336" s="51" t="s">
        <v>16</v>
      </c>
      <c r="D336" s="58">
        <v>1</v>
      </c>
      <c r="E336" s="57">
        <f>(G333)</f>
        <v>10.45</v>
      </c>
      <c r="F336" s="58">
        <v>8</v>
      </c>
      <c r="G336" s="99">
        <f>+((E336-F336)*G331*(0.5172)/D336)</f>
        <v>1.2422941176470583</v>
      </c>
      <c r="H336" s="51" t="s">
        <v>69</v>
      </c>
    </row>
  </sheetData>
  <mergeCells count="1">
    <mergeCell ref="B1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FF33"/>
  </sheetPr>
  <dimension ref="A1:G181"/>
  <sheetViews>
    <sheetView workbookViewId="0">
      <pane ySplit="4" topLeftCell="A5" activePane="bottomLeft" state="frozen"/>
      <selection pane="bottomLeft" activeCell="F13" sqref="F13"/>
    </sheetView>
  </sheetViews>
  <sheetFormatPr baseColWidth="10" defaultColWidth="11.42578125" defaultRowHeight="15" x14ac:dyDescent="0.25"/>
  <cols>
    <col min="1" max="1" width="19.42578125" style="71" customWidth="1"/>
    <col min="2" max="2" width="14.85546875" customWidth="1"/>
    <col min="3" max="3" width="18.5703125" customWidth="1"/>
    <col min="6" max="6" width="18" customWidth="1"/>
    <col min="7" max="7" width="13.5703125" bestFit="1" customWidth="1"/>
  </cols>
  <sheetData>
    <row r="1" spans="1:7" s="30" customFormat="1" ht="12.75" customHeight="1" x14ac:dyDescent="0.2">
      <c r="A1" s="170" t="s">
        <v>372</v>
      </c>
      <c r="B1" s="170"/>
      <c r="C1" s="170"/>
      <c r="D1" s="170"/>
      <c r="E1" s="170"/>
      <c r="F1" s="170"/>
      <c r="G1" s="170"/>
    </row>
    <row r="2" spans="1:7" s="30" customFormat="1" ht="15" customHeight="1" x14ac:dyDescent="0.2">
      <c r="A2" s="170"/>
      <c r="B2" s="170"/>
      <c r="C2" s="170"/>
      <c r="D2" s="170"/>
      <c r="E2" s="170"/>
      <c r="F2" s="170"/>
      <c r="G2" s="170"/>
    </row>
    <row r="3" spans="1:7" s="30" customFormat="1" ht="13.5" customHeight="1" thickBot="1" x14ac:dyDescent="0.25">
      <c r="A3" s="170"/>
      <c r="B3" s="170"/>
      <c r="C3" s="170"/>
      <c r="D3" s="170"/>
      <c r="E3" s="170"/>
      <c r="F3" s="170"/>
      <c r="G3" s="170"/>
    </row>
    <row r="4" spans="1:7" s="30" customFormat="1" ht="26.25" customHeight="1" thickBot="1" x14ac:dyDescent="0.25">
      <c r="A4" s="128" t="s">
        <v>3</v>
      </c>
      <c r="B4" s="155" t="s">
        <v>39</v>
      </c>
      <c r="C4" s="31" t="s">
        <v>373</v>
      </c>
      <c r="D4" s="31" t="s">
        <v>374</v>
      </c>
      <c r="E4" s="31" t="s">
        <v>375</v>
      </c>
      <c r="F4" s="32" t="s">
        <v>376</v>
      </c>
    </row>
    <row r="5" spans="1:7" ht="15.75" x14ac:dyDescent="0.25">
      <c r="A5" s="136">
        <v>46063</v>
      </c>
      <c r="B5" s="71" t="s">
        <v>392</v>
      </c>
      <c r="C5" s="13">
        <v>5</v>
      </c>
      <c r="D5" s="51">
        <v>0.1</v>
      </c>
      <c r="E5" s="29">
        <v>4.5</v>
      </c>
      <c r="F5" s="129">
        <f t="shared" ref="F5:F10" si="0">((E5-D5)*0.0298039*1000)/C5</f>
        <v>26.227432</v>
      </c>
    </row>
    <row r="6" spans="1:7" ht="15.75" x14ac:dyDescent="0.25">
      <c r="A6" s="136">
        <v>46063</v>
      </c>
      <c r="B6" s="71" t="s">
        <v>396</v>
      </c>
      <c r="C6" s="13">
        <v>5</v>
      </c>
      <c r="D6" s="51">
        <v>0.1</v>
      </c>
      <c r="E6" s="29">
        <v>5.8</v>
      </c>
      <c r="F6" s="129">
        <f t="shared" si="0"/>
        <v>33.976446000000003</v>
      </c>
    </row>
    <row r="7" spans="1:7" ht="15.75" x14ac:dyDescent="0.25">
      <c r="A7" s="136">
        <v>46063</v>
      </c>
      <c r="B7" s="71" t="s">
        <v>397</v>
      </c>
      <c r="C7" s="13">
        <v>5</v>
      </c>
      <c r="D7" s="51">
        <v>0.1</v>
      </c>
      <c r="E7" s="29">
        <v>5.6</v>
      </c>
      <c r="F7" s="129">
        <f t="shared" si="0"/>
        <v>32.784289999999999</v>
      </c>
    </row>
    <row r="8" spans="1:7" ht="15.75" x14ac:dyDescent="0.25">
      <c r="A8" s="136">
        <v>46063</v>
      </c>
      <c r="B8" s="71" t="s">
        <v>398</v>
      </c>
      <c r="C8" s="13">
        <v>5</v>
      </c>
      <c r="D8" s="51">
        <v>0.1</v>
      </c>
      <c r="E8" s="29">
        <v>5.6</v>
      </c>
      <c r="F8" s="129">
        <f t="shared" si="0"/>
        <v>32.784289999999999</v>
      </c>
    </row>
    <row r="9" spans="1:7" ht="15.75" x14ac:dyDescent="0.25">
      <c r="A9" s="136">
        <v>46063</v>
      </c>
      <c r="B9" s="71" t="s">
        <v>399</v>
      </c>
      <c r="C9" s="13">
        <v>5</v>
      </c>
      <c r="D9" s="51">
        <v>0.1</v>
      </c>
      <c r="E9" s="29">
        <v>5.5</v>
      </c>
      <c r="F9" s="129">
        <f t="shared" si="0"/>
        <v>32.188212000000007</v>
      </c>
    </row>
    <row r="10" spans="1:7" ht="15.75" x14ac:dyDescent="0.25">
      <c r="A10" s="136">
        <v>46063</v>
      </c>
      <c r="B10" s="71" t="s">
        <v>400</v>
      </c>
      <c r="C10" s="13">
        <v>5</v>
      </c>
      <c r="D10" s="51">
        <v>0.1</v>
      </c>
      <c r="E10" s="29">
        <v>5.8</v>
      </c>
      <c r="F10" s="129">
        <f t="shared" si="0"/>
        <v>33.976446000000003</v>
      </c>
    </row>
    <row r="11" spans="1:7" x14ac:dyDescent="0.25">
      <c r="B11" s="17"/>
    </row>
    <row r="12" spans="1:7" x14ac:dyDescent="0.25">
      <c r="B12" s="17"/>
    </row>
    <row r="13" spans="1:7" x14ac:dyDescent="0.25">
      <c r="B13" s="17"/>
    </row>
    <row r="14" spans="1:7" x14ac:dyDescent="0.25">
      <c r="B14" s="17"/>
    </row>
    <row r="15" spans="1:7" x14ac:dyDescent="0.25">
      <c r="B15" s="17"/>
    </row>
    <row r="16" spans="1:7" x14ac:dyDescent="0.25">
      <c r="B16" s="17"/>
    </row>
    <row r="17" spans="2:2" x14ac:dyDescent="0.25">
      <c r="B17" s="17"/>
    </row>
    <row r="18" spans="2:2" x14ac:dyDescent="0.25">
      <c r="B18" s="17"/>
    </row>
    <row r="19" spans="2:2" x14ac:dyDescent="0.25">
      <c r="B19" s="17"/>
    </row>
    <row r="20" spans="2:2" x14ac:dyDescent="0.25">
      <c r="B20" s="17"/>
    </row>
    <row r="21" spans="2:2" x14ac:dyDescent="0.25">
      <c r="B21" s="17"/>
    </row>
    <row r="22" spans="2:2" x14ac:dyDescent="0.25">
      <c r="B22" s="17"/>
    </row>
    <row r="23" spans="2:2" x14ac:dyDescent="0.25">
      <c r="B23" s="17"/>
    </row>
    <row r="24" spans="2:2" x14ac:dyDescent="0.25">
      <c r="B24" s="17"/>
    </row>
    <row r="25" spans="2:2" x14ac:dyDescent="0.25">
      <c r="B25" s="17"/>
    </row>
    <row r="26" spans="2:2" x14ac:dyDescent="0.25">
      <c r="B26" s="17"/>
    </row>
    <row r="27" spans="2:2" x14ac:dyDescent="0.25">
      <c r="B27" s="17"/>
    </row>
    <row r="28" spans="2:2" x14ac:dyDescent="0.25">
      <c r="B28" s="17"/>
    </row>
    <row r="29" spans="2:2" x14ac:dyDescent="0.25">
      <c r="B29" s="17"/>
    </row>
    <row r="30" spans="2:2" x14ac:dyDescent="0.25">
      <c r="B30" s="17"/>
    </row>
    <row r="31" spans="2:2" x14ac:dyDescent="0.25">
      <c r="B31" s="17"/>
    </row>
    <row r="32" spans="2:2" x14ac:dyDescent="0.25">
      <c r="B32" s="17"/>
    </row>
    <row r="33" spans="2:2" x14ac:dyDescent="0.25">
      <c r="B33" s="17"/>
    </row>
    <row r="34" spans="2:2" x14ac:dyDescent="0.25">
      <c r="B34" s="17"/>
    </row>
    <row r="35" spans="2:2" x14ac:dyDescent="0.25">
      <c r="B35" s="17"/>
    </row>
    <row r="36" spans="2:2" x14ac:dyDescent="0.25">
      <c r="B36" s="17"/>
    </row>
    <row r="37" spans="2:2" x14ac:dyDescent="0.25">
      <c r="B37" s="17"/>
    </row>
    <row r="38" spans="2:2" x14ac:dyDescent="0.25">
      <c r="B38" s="17"/>
    </row>
    <row r="39" spans="2:2" x14ac:dyDescent="0.25">
      <c r="B39" s="17"/>
    </row>
    <row r="40" spans="2:2" x14ac:dyDescent="0.25">
      <c r="B40" s="17"/>
    </row>
    <row r="41" spans="2:2" x14ac:dyDescent="0.25">
      <c r="B41" s="17"/>
    </row>
    <row r="42" spans="2:2" x14ac:dyDescent="0.25">
      <c r="B42" s="17"/>
    </row>
    <row r="43" spans="2:2" x14ac:dyDescent="0.25">
      <c r="B43" s="17"/>
    </row>
    <row r="44" spans="2:2" x14ac:dyDescent="0.25">
      <c r="B44" s="17"/>
    </row>
    <row r="45" spans="2:2" x14ac:dyDescent="0.25">
      <c r="B45" s="17"/>
    </row>
    <row r="46" spans="2:2" x14ac:dyDescent="0.25">
      <c r="B46" s="17"/>
    </row>
    <row r="47" spans="2:2" x14ac:dyDescent="0.25">
      <c r="B47" s="17"/>
    </row>
    <row r="48" spans="2:2" x14ac:dyDescent="0.25">
      <c r="B48" s="17"/>
    </row>
    <row r="49" spans="2:2" x14ac:dyDescent="0.25">
      <c r="B49" s="17"/>
    </row>
    <row r="50" spans="2:2" x14ac:dyDescent="0.25">
      <c r="B50" s="17"/>
    </row>
    <row r="51" spans="2:2" x14ac:dyDescent="0.25">
      <c r="B51" s="17"/>
    </row>
    <row r="52" spans="2:2" x14ac:dyDescent="0.25">
      <c r="B52" s="17"/>
    </row>
    <row r="53" spans="2:2" x14ac:dyDescent="0.25">
      <c r="B53" s="17"/>
    </row>
    <row r="54" spans="2:2" x14ac:dyDescent="0.25">
      <c r="B54" s="17"/>
    </row>
    <row r="55" spans="2:2" x14ac:dyDescent="0.25">
      <c r="B55" s="17"/>
    </row>
    <row r="56" spans="2:2" x14ac:dyDescent="0.25">
      <c r="B56" s="17"/>
    </row>
    <row r="57" spans="2:2" x14ac:dyDescent="0.25">
      <c r="B57" s="17"/>
    </row>
    <row r="58" spans="2:2" x14ac:dyDescent="0.25">
      <c r="B58" s="17"/>
    </row>
    <row r="59" spans="2:2" x14ac:dyDescent="0.25">
      <c r="B59" s="17"/>
    </row>
    <row r="60" spans="2:2" x14ac:dyDescent="0.25">
      <c r="B60" s="17"/>
    </row>
    <row r="61" spans="2:2" x14ac:dyDescent="0.25">
      <c r="B61" s="17"/>
    </row>
    <row r="62" spans="2:2" x14ac:dyDescent="0.25">
      <c r="B62" s="17"/>
    </row>
    <row r="63" spans="2:2" x14ac:dyDescent="0.25">
      <c r="B63" s="17"/>
    </row>
    <row r="64" spans="2:2" x14ac:dyDescent="0.25">
      <c r="B64" s="17"/>
    </row>
    <row r="65" spans="2:2" x14ac:dyDescent="0.25">
      <c r="B65" s="17"/>
    </row>
    <row r="66" spans="2:2" x14ac:dyDescent="0.25">
      <c r="B66" s="17"/>
    </row>
    <row r="67" spans="2:2" x14ac:dyDescent="0.25">
      <c r="B67" s="17"/>
    </row>
    <row r="68" spans="2:2" x14ac:dyDescent="0.25">
      <c r="B68" s="17"/>
    </row>
    <row r="69" spans="2:2" x14ac:dyDescent="0.25">
      <c r="B69" s="17"/>
    </row>
    <row r="70" spans="2:2" x14ac:dyDescent="0.25">
      <c r="B70" s="17"/>
    </row>
    <row r="71" spans="2:2" x14ac:dyDescent="0.25">
      <c r="B71" s="17"/>
    </row>
    <row r="72" spans="2:2" x14ac:dyDescent="0.25">
      <c r="B72" s="17"/>
    </row>
    <row r="73" spans="2:2" x14ac:dyDescent="0.25">
      <c r="B73" s="17"/>
    </row>
    <row r="74" spans="2:2" x14ac:dyDescent="0.25">
      <c r="B74" s="17"/>
    </row>
    <row r="75" spans="2:2" x14ac:dyDescent="0.25">
      <c r="B75" s="17"/>
    </row>
    <row r="76" spans="2:2" x14ac:dyDescent="0.25">
      <c r="B76" s="17"/>
    </row>
    <row r="77" spans="2:2" x14ac:dyDescent="0.25">
      <c r="B77" s="17"/>
    </row>
    <row r="78" spans="2:2" x14ac:dyDescent="0.25">
      <c r="B78" s="17"/>
    </row>
    <row r="79" spans="2:2" x14ac:dyDescent="0.25">
      <c r="B79" s="17"/>
    </row>
    <row r="80" spans="2:2" x14ac:dyDescent="0.25">
      <c r="B80" s="17"/>
    </row>
    <row r="81" spans="2:2" x14ac:dyDescent="0.25">
      <c r="B81" s="17"/>
    </row>
    <row r="82" spans="2:2" x14ac:dyDescent="0.25">
      <c r="B82" s="17"/>
    </row>
    <row r="83" spans="2:2" x14ac:dyDescent="0.25">
      <c r="B83" s="17"/>
    </row>
    <row r="84" spans="2:2" x14ac:dyDescent="0.25">
      <c r="B84" s="17"/>
    </row>
    <row r="85" spans="2:2" x14ac:dyDescent="0.25">
      <c r="B85" s="17"/>
    </row>
    <row r="86" spans="2:2" x14ac:dyDescent="0.25">
      <c r="B86" s="17"/>
    </row>
    <row r="87" spans="2:2" x14ac:dyDescent="0.25">
      <c r="B87" s="17"/>
    </row>
    <row r="88" spans="2:2" x14ac:dyDescent="0.25">
      <c r="B88" s="17"/>
    </row>
    <row r="89" spans="2:2" x14ac:dyDescent="0.25">
      <c r="B89" s="17"/>
    </row>
    <row r="90" spans="2:2" x14ac:dyDescent="0.25">
      <c r="B90" s="17"/>
    </row>
    <row r="91" spans="2:2" x14ac:dyDescent="0.25">
      <c r="B91" s="17"/>
    </row>
    <row r="92" spans="2:2" x14ac:dyDescent="0.25">
      <c r="B92" s="17"/>
    </row>
    <row r="93" spans="2:2" x14ac:dyDescent="0.25">
      <c r="B93" s="17"/>
    </row>
    <row r="94" spans="2:2" x14ac:dyDescent="0.25">
      <c r="B94" s="17"/>
    </row>
    <row r="95" spans="2:2" x14ac:dyDescent="0.25">
      <c r="B95" s="17"/>
    </row>
    <row r="96" spans="2:2" x14ac:dyDescent="0.25">
      <c r="B96" s="17"/>
    </row>
    <row r="97" spans="2:2" x14ac:dyDescent="0.25">
      <c r="B97" s="17"/>
    </row>
    <row r="98" spans="2:2" x14ac:dyDescent="0.25">
      <c r="B98" s="17"/>
    </row>
    <row r="99" spans="2:2" x14ac:dyDescent="0.25">
      <c r="B99" s="17"/>
    </row>
    <row r="100" spans="2:2" x14ac:dyDescent="0.25">
      <c r="B100" s="17"/>
    </row>
    <row r="101" spans="2:2" x14ac:dyDescent="0.25">
      <c r="B101" s="17"/>
    </row>
    <row r="102" spans="2:2" x14ac:dyDescent="0.25">
      <c r="B102" s="17"/>
    </row>
    <row r="103" spans="2:2" x14ac:dyDescent="0.25">
      <c r="B103" s="17"/>
    </row>
    <row r="104" spans="2:2" x14ac:dyDescent="0.25">
      <c r="B104" s="17"/>
    </row>
    <row r="105" spans="2:2" x14ac:dyDescent="0.25">
      <c r="B105" s="17"/>
    </row>
    <row r="106" spans="2:2" x14ac:dyDescent="0.25">
      <c r="B106" s="17"/>
    </row>
    <row r="107" spans="2:2" x14ac:dyDescent="0.25">
      <c r="B107" s="17"/>
    </row>
    <row r="108" spans="2:2" x14ac:dyDescent="0.25">
      <c r="B108" s="17"/>
    </row>
    <row r="109" spans="2:2" x14ac:dyDescent="0.25">
      <c r="B109" s="17"/>
    </row>
    <row r="110" spans="2:2" x14ac:dyDescent="0.25">
      <c r="B110" s="17"/>
    </row>
    <row r="111" spans="2:2" x14ac:dyDescent="0.25">
      <c r="B111" s="17"/>
    </row>
    <row r="112" spans="2:2" x14ac:dyDescent="0.25">
      <c r="B112" s="17"/>
    </row>
    <row r="113" spans="2:2" x14ac:dyDescent="0.25">
      <c r="B113" s="17"/>
    </row>
    <row r="114" spans="2:2" x14ac:dyDescent="0.25">
      <c r="B114" s="17"/>
    </row>
    <row r="115" spans="2:2" x14ac:dyDescent="0.25">
      <c r="B115" s="17"/>
    </row>
    <row r="116" spans="2:2" x14ac:dyDescent="0.25">
      <c r="B116" s="17"/>
    </row>
    <row r="117" spans="2:2" x14ac:dyDescent="0.25">
      <c r="B117" s="17"/>
    </row>
    <row r="118" spans="2:2" x14ac:dyDescent="0.25">
      <c r="B118" s="17"/>
    </row>
    <row r="119" spans="2:2" x14ac:dyDescent="0.25">
      <c r="B119" s="17"/>
    </row>
    <row r="120" spans="2:2" x14ac:dyDescent="0.25">
      <c r="B120" s="17"/>
    </row>
    <row r="121" spans="2:2" x14ac:dyDescent="0.25">
      <c r="B121" s="17"/>
    </row>
    <row r="122" spans="2:2" x14ac:dyDescent="0.25">
      <c r="B122" s="17"/>
    </row>
    <row r="123" spans="2:2" x14ac:dyDescent="0.25">
      <c r="B123" s="17"/>
    </row>
    <row r="124" spans="2:2" x14ac:dyDescent="0.25">
      <c r="B124" s="17"/>
    </row>
    <row r="125" spans="2:2" x14ac:dyDescent="0.25">
      <c r="B125" s="17"/>
    </row>
    <row r="126" spans="2:2" x14ac:dyDescent="0.25">
      <c r="B126" s="17"/>
    </row>
    <row r="127" spans="2:2" x14ac:dyDescent="0.25">
      <c r="B127" s="17"/>
    </row>
    <row r="128" spans="2:2" x14ac:dyDescent="0.25">
      <c r="B128" s="17"/>
    </row>
    <row r="129" spans="2:2" x14ac:dyDescent="0.25">
      <c r="B129" s="17"/>
    </row>
    <row r="130" spans="2:2" x14ac:dyDescent="0.25">
      <c r="B130" s="17"/>
    </row>
    <row r="131" spans="2:2" x14ac:dyDescent="0.25">
      <c r="B131" s="17"/>
    </row>
    <row r="132" spans="2:2" x14ac:dyDescent="0.25">
      <c r="B132" s="17"/>
    </row>
    <row r="133" spans="2:2" x14ac:dyDescent="0.25">
      <c r="B133" s="17"/>
    </row>
    <row r="134" spans="2:2" x14ac:dyDescent="0.25">
      <c r="B134" s="17"/>
    </row>
    <row r="135" spans="2:2" x14ac:dyDescent="0.25">
      <c r="B135" s="17"/>
    </row>
    <row r="136" spans="2:2" x14ac:dyDescent="0.25">
      <c r="B136" s="17"/>
    </row>
    <row r="137" spans="2:2" x14ac:dyDescent="0.25">
      <c r="B137" s="17"/>
    </row>
    <row r="138" spans="2:2" x14ac:dyDescent="0.25">
      <c r="B138" s="17"/>
    </row>
    <row r="139" spans="2:2" x14ac:dyDescent="0.25">
      <c r="B139" s="17"/>
    </row>
    <row r="140" spans="2:2" x14ac:dyDescent="0.25">
      <c r="B140" s="17"/>
    </row>
    <row r="141" spans="2:2" x14ac:dyDescent="0.25">
      <c r="B141" s="17"/>
    </row>
    <row r="142" spans="2:2" x14ac:dyDescent="0.25">
      <c r="B142" s="17"/>
    </row>
    <row r="143" spans="2:2" x14ac:dyDescent="0.25">
      <c r="B143" s="17"/>
    </row>
    <row r="144" spans="2:2" x14ac:dyDescent="0.25">
      <c r="B144" s="17"/>
    </row>
    <row r="145" spans="2:2" x14ac:dyDescent="0.25">
      <c r="B145" s="17"/>
    </row>
    <row r="146" spans="2:2" x14ac:dyDescent="0.25">
      <c r="B146" s="17"/>
    </row>
    <row r="147" spans="2:2" x14ac:dyDescent="0.25">
      <c r="B147" s="17"/>
    </row>
    <row r="148" spans="2:2" x14ac:dyDescent="0.25">
      <c r="B148" s="17"/>
    </row>
    <row r="149" spans="2:2" x14ac:dyDescent="0.25">
      <c r="B149" s="17"/>
    </row>
    <row r="150" spans="2:2" x14ac:dyDescent="0.25">
      <c r="B150" s="17"/>
    </row>
    <row r="151" spans="2:2" x14ac:dyDescent="0.25">
      <c r="B151" s="17"/>
    </row>
    <row r="152" spans="2:2" x14ac:dyDescent="0.25">
      <c r="B152" s="17"/>
    </row>
    <row r="153" spans="2:2" x14ac:dyDescent="0.25">
      <c r="B153" s="17"/>
    </row>
    <row r="154" spans="2:2" x14ac:dyDescent="0.25">
      <c r="B154" s="17"/>
    </row>
    <row r="155" spans="2:2" x14ac:dyDescent="0.25">
      <c r="B155" s="17"/>
    </row>
    <row r="156" spans="2:2" x14ac:dyDescent="0.25">
      <c r="B156" s="17"/>
    </row>
    <row r="157" spans="2:2" x14ac:dyDescent="0.25">
      <c r="B157" s="17"/>
    </row>
    <row r="158" spans="2:2" x14ac:dyDescent="0.25">
      <c r="B158" s="17"/>
    </row>
    <row r="159" spans="2:2" x14ac:dyDescent="0.25">
      <c r="B159" s="17"/>
    </row>
    <row r="160" spans="2:2" x14ac:dyDescent="0.25">
      <c r="B160" s="17"/>
    </row>
    <row r="161" spans="2:2" x14ac:dyDescent="0.25">
      <c r="B161" s="17"/>
    </row>
    <row r="162" spans="2:2" x14ac:dyDescent="0.25">
      <c r="B162" s="17"/>
    </row>
    <row r="163" spans="2:2" x14ac:dyDescent="0.25">
      <c r="B163" s="17"/>
    </row>
    <row r="164" spans="2:2" x14ac:dyDescent="0.25">
      <c r="B164" s="17"/>
    </row>
    <row r="165" spans="2:2" x14ac:dyDescent="0.25">
      <c r="B165" s="17"/>
    </row>
    <row r="166" spans="2:2" x14ac:dyDescent="0.25">
      <c r="B166" s="17"/>
    </row>
    <row r="167" spans="2:2" x14ac:dyDescent="0.25">
      <c r="B167" s="17"/>
    </row>
    <row r="168" spans="2:2" x14ac:dyDescent="0.25">
      <c r="B168" s="17"/>
    </row>
    <row r="169" spans="2:2" x14ac:dyDescent="0.25">
      <c r="B169" s="17"/>
    </row>
    <row r="170" spans="2:2" x14ac:dyDescent="0.25">
      <c r="B170" s="17"/>
    </row>
    <row r="171" spans="2:2" x14ac:dyDescent="0.25">
      <c r="B171" s="17"/>
    </row>
    <row r="172" spans="2:2" x14ac:dyDescent="0.25">
      <c r="B172" s="17"/>
    </row>
    <row r="173" spans="2:2" x14ac:dyDescent="0.25">
      <c r="B173" s="17"/>
    </row>
    <row r="174" spans="2:2" x14ac:dyDescent="0.25">
      <c r="B174" s="17"/>
    </row>
    <row r="175" spans="2:2" x14ac:dyDescent="0.25">
      <c r="B175" s="17"/>
    </row>
    <row r="176" spans="2:2" x14ac:dyDescent="0.25">
      <c r="B176" s="17"/>
    </row>
    <row r="177" spans="2:2" x14ac:dyDescent="0.25">
      <c r="B177" s="17"/>
    </row>
    <row r="178" spans="2:2" x14ac:dyDescent="0.25">
      <c r="B178" s="17"/>
    </row>
    <row r="179" spans="2:2" x14ac:dyDescent="0.25">
      <c r="B179" s="17"/>
    </row>
    <row r="180" spans="2:2" x14ac:dyDescent="0.25">
      <c r="B180" s="17"/>
    </row>
    <row r="181" spans="2:2" x14ac:dyDescent="0.25">
      <c r="B181" s="17"/>
    </row>
  </sheetData>
  <mergeCells count="1">
    <mergeCell ref="A1:G3"/>
  </mergeCells>
  <phoneticPr fontId="34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1C1FF"/>
  </sheetPr>
  <dimension ref="A1:O21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13" customWidth="1"/>
    <col min="2" max="2" width="17.28515625" customWidth="1"/>
    <col min="3" max="3" width="16.140625" customWidth="1"/>
    <col min="4" max="4" width="20.28515625" style="17" customWidth="1"/>
    <col min="5" max="5" width="14.85546875" customWidth="1"/>
    <col min="6" max="6" width="15" customWidth="1"/>
    <col min="7" max="7" width="3.28515625" customWidth="1"/>
    <col min="8" max="8" width="5.140625" customWidth="1"/>
    <col min="9" max="9" width="33" customWidth="1"/>
    <col min="10" max="10" width="7.85546875" customWidth="1"/>
    <col min="11" max="11" width="6.5703125" customWidth="1"/>
    <col min="12" max="13" width="11.7109375" customWidth="1"/>
  </cols>
  <sheetData>
    <row r="1" spans="1:15" ht="22.5" customHeight="1" x14ac:dyDescent="0.65">
      <c r="A1" s="170" t="s">
        <v>274</v>
      </c>
      <c r="B1" s="170"/>
      <c r="C1" s="170"/>
      <c r="D1" s="170"/>
      <c r="E1" s="170"/>
      <c r="F1" s="170"/>
      <c r="G1" s="103"/>
      <c r="H1" s="104"/>
      <c r="I1" s="18"/>
    </row>
    <row r="2" spans="1:15" ht="21" customHeight="1" thickBot="1" x14ac:dyDescent="0.7">
      <c r="A2" s="171"/>
      <c r="B2" s="171"/>
      <c r="C2" s="171"/>
      <c r="D2" s="171"/>
      <c r="E2" s="171"/>
      <c r="F2" s="171"/>
      <c r="G2" s="103"/>
      <c r="H2" s="104"/>
    </row>
    <row r="3" spans="1:15" ht="18" customHeight="1" x14ac:dyDescent="0.3">
      <c r="B3" s="12"/>
      <c r="C3" s="51"/>
      <c r="D3" s="58"/>
      <c r="E3" s="117"/>
      <c r="F3" s="117"/>
      <c r="G3" s="117"/>
      <c r="H3" s="120"/>
      <c r="I3" s="120"/>
      <c r="J3" s="120"/>
      <c r="K3" s="120"/>
      <c r="N3" s="72"/>
      <c r="O3" s="118"/>
    </row>
    <row r="4" spans="1:15" ht="15.75" thickBot="1" x14ac:dyDescent="0.3"/>
    <row r="5" spans="1:15" ht="27.75" thickBot="1" x14ac:dyDescent="0.35">
      <c r="A5" s="19" t="s">
        <v>275</v>
      </c>
      <c r="B5" s="20" t="s">
        <v>57</v>
      </c>
      <c r="C5" s="20" t="s">
        <v>276</v>
      </c>
      <c r="D5" s="20" t="s">
        <v>277</v>
      </c>
      <c r="E5" s="20" t="s">
        <v>278</v>
      </c>
      <c r="F5" s="105" t="s">
        <v>279</v>
      </c>
      <c r="H5" s="158" t="s">
        <v>281</v>
      </c>
      <c r="I5" s="159"/>
      <c r="J5" s="159"/>
      <c r="K5" s="160"/>
    </row>
    <row r="6" spans="1:15" ht="15.75" x14ac:dyDescent="0.25">
      <c r="A6" s="102">
        <v>46059</v>
      </c>
      <c r="B6" s="56" t="s">
        <v>280</v>
      </c>
      <c r="C6" s="51">
        <v>0.5</v>
      </c>
      <c r="D6" s="17">
        <v>3.3</v>
      </c>
      <c r="E6" s="129">
        <f>($J$15-D6)/C6*($K$10)*(0.39)</f>
        <v>5.3999999999999995</v>
      </c>
      <c r="F6" s="129">
        <f>+E6*1.724</f>
        <v>9.3095999999999997</v>
      </c>
      <c r="H6" s="106" t="s">
        <v>282</v>
      </c>
      <c r="I6" s="107" t="s">
        <v>283</v>
      </c>
      <c r="J6" s="121">
        <v>1.04</v>
      </c>
      <c r="K6" s="161">
        <f>(J6+J7)/2</f>
        <v>1.04</v>
      </c>
    </row>
    <row r="7" spans="1:15" ht="16.5" thickBot="1" x14ac:dyDescent="0.3">
      <c r="B7" s="56" t="s">
        <v>291</v>
      </c>
      <c r="C7" s="51">
        <v>0.5</v>
      </c>
      <c r="D7" s="17">
        <v>5.8</v>
      </c>
      <c r="E7" s="72">
        <f t="shared" ref="E7" si="0">($J$15-D7)/C7*($K$10)*(0.39)</f>
        <v>3.5249999999999999</v>
      </c>
      <c r="F7" s="72">
        <f t="shared" ref="F7" si="1">+E7*1.724</f>
        <v>6.0770999999999997</v>
      </c>
      <c r="H7" s="108" t="s">
        <v>284</v>
      </c>
      <c r="I7" s="109" t="s">
        <v>283</v>
      </c>
      <c r="J7" s="122">
        <v>1.04</v>
      </c>
      <c r="K7" s="162"/>
    </row>
    <row r="8" spans="1:15" ht="16.5" thickBot="1" x14ac:dyDescent="0.3">
      <c r="B8" s="51" t="s">
        <v>292</v>
      </c>
      <c r="C8" s="58">
        <v>0.5</v>
      </c>
      <c r="D8" s="17">
        <v>8.6</v>
      </c>
      <c r="E8" s="72">
        <f>($J$15-D8)/C8*($K$10)*(0.39)</f>
        <v>1.4250000000000003</v>
      </c>
      <c r="F8" s="72">
        <f>+E8*1.724</f>
        <v>2.4567000000000005</v>
      </c>
      <c r="H8" s="54"/>
    </row>
    <row r="9" spans="1:15" ht="17.25" thickBot="1" x14ac:dyDescent="0.35">
      <c r="B9" s="71" t="s">
        <v>396</v>
      </c>
      <c r="C9" s="58">
        <v>0.5</v>
      </c>
      <c r="D9" s="17">
        <v>9.6</v>
      </c>
      <c r="E9" s="129">
        <f t="shared" ref="E9:E15" si="2">($J$15-D9)/C9*($K$10)*(0.39)</f>
        <v>0.67500000000000027</v>
      </c>
      <c r="F9" s="129">
        <f t="shared" ref="F9:F15" si="3">+E9*1.724</f>
        <v>1.1637000000000004</v>
      </c>
      <c r="H9" s="163" t="s">
        <v>285</v>
      </c>
      <c r="I9" s="164"/>
      <c r="J9" s="164"/>
      <c r="K9" s="165"/>
    </row>
    <row r="10" spans="1:15" ht="15.75" x14ac:dyDescent="0.25">
      <c r="B10" s="71" t="s">
        <v>397</v>
      </c>
      <c r="C10" s="58">
        <v>0.5</v>
      </c>
      <c r="D10" s="17">
        <v>9.6999999999999993</v>
      </c>
      <c r="E10" s="129">
        <f t="shared" si="2"/>
        <v>0.60000000000000053</v>
      </c>
      <c r="F10" s="129">
        <f t="shared" si="3"/>
        <v>1.0344000000000009</v>
      </c>
      <c r="H10" s="110" t="s">
        <v>286</v>
      </c>
      <c r="I10" s="107"/>
      <c r="J10" s="111">
        <v>1</v>
      </c>
      <c r="K10" s="161">
        <f>(J10*J11)/J12</f>
        <v>0.96153846153846145</v>
      </c>
    </row>
    <row r="11" spans="1:15" ht="15.75" x14ac:dyDescent="0.25">
      <c r="B11" s="71" t="s">
        <v>398</v>
      </c>
      <c r="C11" s="58">
        <v>0.5</v>
      </c>
      <c r="D11" s="17">
        <v>8.6999999999999993</v>
      </c>
      <c r="E11" s="129">
        <f t="shared" si="2"/>
        <v>1.3500000000000005</v>
      </c>
      <c r="F11" s="129">
        <f t="shared" si="3"/>
        <v>2.3274000000000008</v>
      </c>
      <c r="H11" s="112" t="s">
        <v>287</v>
      </c>
      <c r="J11" s="17">
        <v>1</v>
      </c>
      <c r="K11" s="166"/>
    </row>
    <row r="12" spans="1:15" ht="16.5" thickBot="1" x14ac:dyDescent="0.3">
      <c r="B12" s="71" t="s">
        <v>399</v>
      </c>
      <c r="C12" s="58">
        <v>0.5</v>
      </c>
      <c r="D12" s="17">
        <v>9.1</v>
      </c>
      <c r="E12" s="129">
        <f t="shared" si="2"/>
        <v>1.0500000000000003</v>
      </c>
      <c r="F12" s="129">
        <f t="shared" si="3"/>
        <v>1.8102000000000005</v>
      </c>
      <c r="H12" s="113" t="s">
        <v>288</v>
      </c>
      <c r="I12" s="114"/>
      <c r="J12" s="115">
        <f>(K6)</f>
        <v>1.04</v>
      </c>
      <c r="K12" s="162"/>
    </row>
    <row r="13" spans="1:15" ht="16.5" thickBot="1" x14ac:dyDescent="0.3">
      <c r="B13" s="71" t="s">
        <v>400</v>
      </c>
      <c r="C13" s="58">
        <v>0.5</v>
      </c>
      <c r="D13" s="17">
        <v>10.199999999999999</v>
      </c>
      <c r="E13" s="129">
        <f t="shared" si="2"/>
        <v>0.22500000000000051</v>
      </c>
      <c r="F13" s="129">
        <f t="shared" si="3"/>
        <v>0.38790000000000086</v>
      </c>
    </row>
    <row r="14" spans="1:15" ht="17.25" thickBot="1" x14ac:dyDescent="0.35">
      <c r="B14" s="71" t="s">
        <v>401</v>
      </c>
      <c r="C14" s="58">
        <v>0.5</v>
      </c>
      <c r="D14" s="17" t="s">
        <v>395</v>
      </c>
      <c r="E14" s="129" t="e">
        <f t="shared" si="2"/>
        <v>#VALUE!</v>
      </c>
      <c r="F14" s="129" t="e">
        <f t="shared" si="3"/>
        <v>#VALUE!</v>
      </c>
      <c r="H14" s="167" t="s">
        <v>289</v>
      </c>
      <c r="I14" s="168"/>
      <c r="J14" s="168"/>
      <c r="K14" s="169"/>
    </row>
    <row r="15" spans="1:15" ht="15.75" x14ac:dyDescent="0.25">
      <c r="B15" s="71" t="s">
        <v>402</v>
      </c>
      <c r="C15" s="58">
        <v>0.5</v>
      </c>
      <c r="D15" s="17">
        <v>9</v>
      </c>
      <c r="E15" s="129">
        <f t="shared" si="2"/>
        <v>1.1249999999999998</v>
      </c>
      <c r="F15" s="129">
        <f t="shared" si="3"/>
        <v>1.9394999999999996</v>
      </c>
      <c r="H15" s="110" t="s">
        <v>290</v>
      </c>
      <c r="I15" s="116"/>
      <c r="J15" s="123">
        <v>10.5</v>
      </c>
      <c r="K15" s="156"/>
    </row>
    <row r="16" spans="1:15" ht="16.5" thickBot="1" x14ac:dyDescent="0.3">
      <c r="B16" s="71"/>
      <c r="C16" s="58"/>
      <c r="E16" s="129"/>
      <c r="F16" s="129"/>
      <c r="H16" s="113" t="s">
        <v>290</v>
      </c>
      <c r="I16" s="114"/>
      <c r="J16" s="124"/>
      <c r="K16" s="157"/>
    </row>
    <row r="17" spans="2:6" ht="15.75" x14ac:dyDescent="0.25">
      <c r="B17" s="71"/>
      <c r="C17" s="58"/>
      <c r="E17" s="129"/>
      <c r="F17" s="129"/>
    </row>
    <row r="18" spans="2:6" ht="15.75" x14ac:dyDescent="0.25">
      <c r="B18" s="71"/>
      <c r="C18" s="58"/>
      <c r="E18" s="129"/>
      <c r="F18" s="129"/>
    </row>
    <row r="19" spans="2:6" ht="15.75" x14ac:dyDescent="0.25">
      <c r="B19" s="71"/>
      <c r="C19" s="58"/>
      <c r="E19" s="129"/>
      <c r="F19" s="129"/>
    </row>
    <row r="20" spans="2:6" ht="15.75" x14ac:dyDescent="0.25">
      <c r="B20" s="71"/>
      <c r="C20" s="58"/>
      <c r="E20" s="129"/>
      <c r="F20" s="129"/>
    </row>
    <row r="21" spans="2:6" ht="15.75" x14ac:dyDescent="0.25">
      <c r="B21" s="71"/>
      <c r="C21" s="58"/>
      <c r="E21" s="129"/>
      <c r="F21" s="129"/>
    </row>
  </sheetData>
  <mergeCells count="7">
    <mergeCell ref="A1:F2"/>
    <mergeCell ref="K15:K16"/>
    <mergeCell ref="H5:K5"/>
    <mergeCell ref="K6:K7"/>
    <mergeCell ref="H9:K9"/>
    <mergeCell ref="K10:K12"/>
    <mergeCell ref="H14:K14"/>
  </mergeCells>
  <phoneticPr fontId="34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33CC"/>
  </sheetPr>
  <dimension ref="A1:J212"/>
  <sheetViews>
    <sheetView workbookViewId="0">
      <pane ySplit="4" topLeftCell="A50" activePane="bottomLeft" state="frozen"/>
      <selection sqref="A1:XFD1048576"/>
      <selection pane="bottomLeft" activeCell="G79" sqref="G79"/>
    </sheetView>
  </sheetViews>
  <sheetFormatPr baseColWidth="10" defaultColWidth="11.42578125" defaultRowHeight="15" x14ac:dyDescent="0.25"/>
  <cols>
    <col min="1" max="1" width="17.5703125" customWidth="1"/>
    <col min="2" max="2" width="19.140625" customWidth="1"/>
    <col min="3" max="3" width="16.7109375" customWidth="1"/>
    <col min="4" max="4" width="16.42578125" customWidth="1"/>
    <col min="5" max="5" width="20.28515625" customWidth="1"/>
  </cols>
  <sheetData>
    <row r="1" spans="1:10" ht="12.75" customHeight="1" x14ac:dyDescent="0.5">
      <c r="A1" s="25"/>
      <c r="B1" s="25"/>
      <c r="C1" s="25"/>
      <c r="D1" s="25"/>
      <c r="E1" s="25"/>
      <c r="F1" s="25"/>
      <c r="G1" s="17"/>
      <c r="H1" s="17"/>
      <c r="I1" s="17"/>
      <c r="J1" s="17"/>
    </row>
    <row r="2" spans="1:10" ht="31.5" x14ac:dyDescent="0.65">
      <c r="A2" s="190" t="s">
        <v>293</v>
      </c>
      <c r="B2" s="190"/>
      <c r="C2" s="190"/>
      <c r="D2" s="190"/>
      <c r="E2" s="190"/>
      <c r="F2" s="190"/>
      <c r="G2" s="17"/>
      <c r="H2" s="17"/>
      <c r="I2" s="17"/>
      <c r="J2" s="17"/>
    </row>
    <row r="3" spans="1:10" ht="8.25" customHeight="1" thickBot="1" x14ac:dyDescent="0.55000000000000004">
      <c r="A3" s="25"/>
      <c r="B3" s="25"/>
      <c r="C3" s="26"/>
      <c r="D3" s="25"/>
      <c r="E3" s="25"/>
      <c r="F3" s="25"/>
      <c r="G3" s="17"/>
      <c r="H3" s="17"/>
      <c r="I3" s="17"/>
      <c r="J3" s="17"/>
    </row>
    <row r="4" spans="1:10" ht="17.25" customHeight="1" thickBot="1" x14ac:dyDescent="0.3">
      <c r="A4" s="27" t="s">
        <v>3</v>
      </c>
      <c r="B4" s="28" t="s">
        <v>46</v>
      </c>
      <c r="C4" s="28" t="s">
        <v>294</v>
      </c>
      <c r="D4" s="28" t="s">
        <v>295</v>
      </c>
      <c r="E4" s="28" t="s">
        <v>296</v>
      </c>
      <c r="F4" s="28"/>
      <c r="G4" s="17"/>
      <c r="H4" s="17"/>
      <c r="I4" s="17"/>
      <c r="J4" s="17"/>
    </row>
    <row r="5" spans="1:10" ht="15.75" x14ac:dyDescent="0.25">
      <c r="A5" s="70">
        <v>44243</v>
      </c>
      <c r="B5" s="17" t="s">
        <v>297</v>
      </c>
      <c r="C5" s="13">
        <v>21.07</v>
      </c>
      <c r="D5" s="13">
        <v>20.93</v>
      </c>
      <c r="E5" s="29">
        <f t="shared" ref="E5:E62" si="0">(C5-D5)*20</f>
        <v>2.8000000000000114</v>
      </c>
    </row>
    <row r="6" spans="1:10" ht="15.75" x14ac:dyDescent="0.25">
      <c r="A6" s="70">
        <v>44243</v>
      </c>
      <c r="B6" s="17" t="s">
        <v>298</v>
      </c>
      <c r="C6" s="13">
        <v>21.2</v>
      </c>
      <c r="D6" s="13">
        <v>21.11</v>
      </c>
      <c r="E6" s="29">
        <f t="shared" si="0"/>
        <v>1.7999999999999972</v>
      </c>
    </row>
    <row r="7" spans="1:10" ht="15.75" x14ac:dyDescent="0.25">
      <c r="A7" s="70">
        <v>44243</v>
      </c>
      <c r="B7" s="17" t="s">
        <v>299</v>
      </c>
      <c r="C7" s="13">
        <v>21.24</v>
      </c>
      <c r="D7" s="13">
        <v>21.11</v>
      </c>
      <c r="E7" s="29">
        <f t="shared" si="0"/>
        <v>2.5999999999999801</v>
      </c>
    </row>
    <row r="8" spans="1:10" ht="15.75" x14ac:dyDescent="0.25">
      <c r="A8" s="70">
        <v>44243</v>
      </c>
      <c r="B8" s="17" t="s">
        <v>300</v>
      </c>
      <c r="C8" s="13">
        <v>21.12</v>
      </c>
      <c r="D8" s="13">
        <v>21.02</v>
      </c>
      <c r="E8" s="29">
        <f t="shared" si="0"/>
        <v>2.0000000000000284</v>
      </c>
    </row>
    <row r="9" spans="1:10" ht="15.75" x14ac:dyDescent="0.25">
      <c r="A9" s="70">
        <v>44243</v>
      </c>
      <c r="B9" s="17" t="s">
        <v>301</v>
      </c>
      <c r="C9" s="13">
        <v>21.09</v>
      </c>
      <c r="D9" s="13">
        <v>21.03</v>
      </c>
      <c r="E9" s="29">
        <f t="shared" si="0"/>
        <v>1.1999999999999744</v>
      </c>
    </row>
    <row r="10" spans="1:10" ht="15.75" x14ac:dyDescent="0.25">
      <c r="A10" s="70">
        <v>44243</v>
      </c>
      <c r="B10" s="12" t="s">
        <v>302</v>
      </c>
      <c r="C10" s="13">
        <v>20.99</v>
      </c>
      <c r="D10" s="13">
        <v>20.88</v>
      </c>
      <c r="E10" s="29">
        <f t="shared" si="0"/>
        <v>2.1999999999999886</v>
      </c>
    </row>
    <row r="11" spans="1:10" ht="15.75" x14ac:dyDescent="0.25">
      <c r="A11" s="70">
        <v>44243</v>
      </c>
      <c r="B11" s="12" t="s">
        <v>303</v>
      </c>
      <c r="C11" s="13">
        <v>20.81</v>
      </c>
      <c r="D11" s="13">
        <v>20.72</v>
      </c>
      <c r="E11" s="29">
        <f t="shared" si="0"/>
        <v>1.7999999999999972</v>
      </c>
    </row>
    <row r="12" spans="1:10" ht="15.75" x14ac:dyDescent="0.25">
      <c r="A12" s="70">
        <v>44243</v>
      </c>
      <c r="B12" s="12" t="s">
        <v>304</v>
      </c>
      <c r="C12" s="13">
        <v>21.09</v>
      </c>
      <c r="D12" s="13">
        <v>20.96</v>
      </c>
      <c r="E12" s="29">
        <f t="shared" si="0"/>
        <v>2.5999999999999801</v>
      </c>
    </row>
    <row r="13" spans="1:10" ht="15.75" x14ac:dyDescent="0.25">
      <c r="A13" s="70">
        <v>44243</v>
      </c>
      <c r="B13" s="12" t="s">
        <v>305</v>
      </c>
      <c r="C13" s="13">
        <v>21.17</v>
      </c>
      <c r="D13" s="13">
        <v>21.03</v>
      </c>
      <c r="E13" s="29">
        <f t="shared" si="0"/>
        <v>2.8000000000000114</v>
      </c>
    </row>
    <row r="14" spans="1:10" ht="15.75" x14ac:dyDescent="0.25">
      <c r="A14" s="70">
        <v>44243</v>
      </c>
      <c r="B14" s="12" t="s">
        <v>306</v>
      </c>
      <c r="C14" s="13">
        <v>20.47</v>
      </c>
      <c r="D14" s="13">
        <v>20.309999999999999</v>
      </c>
      <c r="E14" s="29">
        <f t="shared" si="0"/>
        <v>3.2000000000000028</v>
      </c>
    </row>
    <row r="15" spans="1:10" ht="15.75" x14ac:dyDescent="0.25">
      <c r="A15" s="70">
        <v>44243</v>
      </c>
      <c r="B15" s="12" t="s">
        <v>307</v>
      </c>
      <c r="C15" s="13">
        <v>21.07</v>
      </c>
      <c r="D15" s="13">
        <v>20.99</v>
      </c>
      <c r="E15" s="29">
        <f t="shared" si="0"/>
        <v>1.6000000000000369</v>
      </c>
    </row>
    <row r="16" spans="1:10" ht="15.75" x14ac:dyDescent="0.25">
      <c r="A16" s="70">
        <v>44243</v>
      </c>
      <c r="B16" s="12" t="s">
        <v>308</v>
      </c>
      <c r="C16" s="13">
        <v>21.18</v>
      </c>
      <c r="D16" s="13">
        <v>21.1</v>
      </c>
      <c r="E16" s="29">
        <f t="shared" si="0"/>
        <v>1.5999999999999659</v>
      </c>
    </row>
    <row r="17" spans="1:5" ht="15.75" x14ac:dyDescent="0.25">
      <c r="A17" s="70">
        <v>44243</v>
      </c>
      <c r="B17" s="12" t="s">
        <v>309</v>
      </c>
      <c r="C17" s="13">
        <v>21.05</v>
      </c>
      <c r="D17" s="13">
        <v>20.96</v>
      </c>
      <c r="E17" s="29">
        <f t="shared" si="0"/>
        <v>1.7999999999999972</v>
      </c>
    </row>
    <row r="18" spans="1:5" ht="15.75" x14ac:dyDescent="0.25">
      <c r="A18" s="70">
        <v>44243</v>
      </c>
      <c r="B18" s="12" t="s">
        <v>310</v>
      </c>
      <c r="C18" s="13">
        <v>21.27</v>
      </c>
      <c r="D18" s="13">
        <v>21.14</v>
      </c>
      <c r="E18" s="29">
        <f t="shared" si="0"/>
        <v>2.5999999999999801</v>
      </c>
    </row>
    <row r="19" spans="1:5" ht="15.75" x14ac:dyDescent="0.25">
      <c r="A19" s="70">
        <v>44243</v>
      </c>
      <c r="B19" s="12" t="s">
        <v>311</v>
      </c>
      <c r="C19" s="13">
        <v>21.24</v>
      </c>
      <c r="D19" s="13">
        <v>21.14</v>
      </c>
      <c r="E19" s="29">
        <f t="shared" si="0"/>
        <v>1.9999999999999574</v>
      </c>
    </row>
    <row r="20" spans="1:5" ht="15.75" x14ac:dyDescent="0.25">
      <c r="A20" s="70">
        <v>44243</v>
      </c>
      <c r="B20" s="12" t="s">
        <v>312</v>
      </c>
      <c r="C20" s="13">
        <v>21.34</v>
      </c>
      <c r="D20" s="13">
        <v>21.22</v>
      </c>
      <c r="E20" s="29">
        <f t="shared" si="0"/>
        <v>2.4000000000000199</v>
      </c>
    </row>
    <row r="21" spans="1:5" ht="15.75" x14ac:dyDescent="0.25">
      <c r="A21" s="70">
        <v>44243</v>
      </c>
      <c r="B21" s="12" t="s">
        <v>313</v>
      </c>
      <c r="C21" s="13">
        <v>21.18</v>
      </c>
      <c r="D21" s="13">
        <v>21.04</v>
      </c>
      <c r="E21" s="29">
        <f t="shared" si="0"/>
        <v>2.8000000000000114</v>
      </c>
    </row>
    <row r="22" spans="1:5" ht="15.75" x14ac:dyDescent="0.25">
      <c r="A22" s="70">
        <v>44243</v>
      </c>
      <c r="B22" s="12" t="s">
        <v>314</v>
      </c>
      <c r="C22" s="13">
        <v>21.15</v>
      </c>
      <c r="D22" s="13">
        <v>21.05</v>
      </c>
      <c r="E22" s="29">
        <f t="shared" si="0"/>
        <v>1.9999999999999574</v>
      </c>
    </row>
    <row r="23" spans="1:5" ht="15.75" x14ac:dyDescent="0.25">
      <c r="A23" s="70">
        <v>44243</v>
      </c>
      <c r="B23" s="12" t="s">
        <v>315</v>
      </c>
      <c r="C23" s="13">
        <v>21.17</v>
      </c>
      <c r="D23" s="13">
        <v>21.04</v>
      </c>
      <c r="E23" s="29">
        <f t="shared" si="0"/>
        <v>2.6000000000000512</v>
      </c>
    </row>
    <row r="24" spans="1:5" ht="15.75" x14ac:dyDescent="0.25">
      <c r="A24" s="70">
        <v>44243</v>
      </c>
      <c r="B24" s="12" t="s">
        <v>16</v>
      </c>
      <c r="C24" s="13">
        <v>21.14</v>
      </c>
      <c r="D24" s="13">
        <v>21</v>
      </c>
      <c r="E24" s="80">
        <f t="shared" ref="E24" si="1">(C24-D24)*20</f>
        <v>2.8000000000000114</v>
      </c>
    </row>
    <row r="25" spans="1:5" ht="15.75" x14ac:dyDescent="0.25">
      <c r="A25" s="70">
        <v>44259</v>
      </c>
      <c r="B25" s="12" t="s">
        <v>316</v>
      </c>
      <c r="C25" s="13">
        <v>21.21</v>
      </c>
      <c r="D25" s="13">
        <v>21.13</v>
      </c>
      <c r="E25" s="29">
        <f t="shared" si="0"/>
        <v>1.6000000000000369</v>
      </c>
    </row>
    <row r="26" spans="1:5" ht="15.75" x14ac:dyDescent="0.25">
      <c r="A26" s="70">
        <v>44259</v>
      </c>
      <c r="B26" s="12" t="s">
        <v>317</v>
      </c>
      <c r="C26" s="13">
        <v>21.12</v>
      </c>
      <c r="D26" s="13">
        <v>20.88</v>
      </c>
      <c r="E26" s="29">
        <f t="shared" si="0"/>
        <v>4.8000000000000398</v>
      </c>
    </row>
    <row r="27" spans="1:5" ht="15.75" x14ac:dyDescent="0.25">
      <c r="A27" s="70">
        <v>44259</v>
      </c>
      <c r="B27" s="12" t="s">
        <v>318</v>
      </c>
      <c r="C27" s="13">
        <v>21.09</v>
      </c>
      <c r="D27" s="13">
        <v>21</v>
      </c>
      <c r="E27" s="29">
        <f t="shared" si="0"/>
        <v>1.7999999999999972</v>
      </c>
    </row>
    <row r="28" spans="1:5" ht="15.75" x14ac:dyDescent="0.25">
      <c r="A28" s="70">
        <v>44259</v>
      </c>
      <c r="B28" s="12" t="s">
        <v>319</v>
      </c>
      <c r="C28" s="13">
        <v>20.98</v>
      </c>
      <c r="D28" s="13">
        <v>20.75</v>
      </c>
      <c r="E28" s="29">
        <f t="shared" si="0"/>
        <v>4.6000000000000085</v>
      </c>
    </row>
    <row r="29" spans="1:5" ht="15.75" x14ac:dyDescent="0.25">
      <c r="A29" s="70">
        <v>44259</v>
      </c>
      <c r="B29" s="12" t="s">
        <v>320</v>
      </c>
      <c r="C29" s="13">
        <v>20.78</v>
      </c>
      <c r="D29" s="13">
        <v>20.65</v>
      </c>
      <c r="E29" s="29">
        <f t="shared" si="0"/>
        <v>2.6000000000000512</v>
      </c>
    </row>
    <row r="30" spans="1:5" ht="15.75" x14ac:dyDescent="0.25">
      <c r="A30" s="70">
        <v>44259</v>
      </c>
      <c r="B30" s="12" t="s">
        <v>321</v>
      </c>
      <c r="C30" s="13">
        <v>21.11</v>
      </c>
      <c r="D30" s="13">
        <v>20.87</v>
      </c>
      <c r="E30" s="29">
        <f t="shared" si="0"/>
        <v>4.7999999999999687</v>
      </c>
    </row>
    <row r="31" spans="1:5" ht="15.75" x14ac:dyDescent="0.25">
      <c r="A31" s="70">
        <v>44259</v>
      </c>
      <c r="B31" s="12" t="s">
        <v>322</v>
      </c>
      <c r="C31" s="13">
        <v>21.15</v>
      </c>
      <c r="D31" s="13">
        <v>21.01</v>
      </c>
      <c r="E31" s="29">
        <f t="shared" si="0"/>
        <v>2.7999999999999403</v>
      </c>
    </row>
    <row r="32" spans="1:5" ht="15.75" x14ac:dyDescent="0.25">
      <c r="A32" s="70">
        <v>44259</v>
      </c>
      <c r="B32" s="12" t="s">
        <v>323</v>
      </c>
      <c r="C32" s="13">
        <v>20.48</v>
      </c>
      <c r="D32" s="13">
        <v>20.32</v>
      </c>
      <c r="E32" s="29">
        <f t="shared" si="0"/>
        <v>3.2000000000000028</v>
      </c>
    </row>
    <row r="33" spans="1:5" ht="15.75" x14ac:dyDescent="0.25">
      <c r="A33" s="70">
        <v>44259</v>
      </c>
      <c r="B33" s="12" t="s">
        <v>324</v>
      </c>
      <c r="C33" s="13">
        <v>21.08</v>
      </c>
      <c r="D33" s="13">
        <v>20.97</v>
      </c>
      <c r="E33" s="29">
        <f t="shared" si="0"/>
        <v>2.1999999999999886</v>
      </c>
    </row>
    <row r="34" spans="1:5" ht="15.75" x14ac:dyDescent="0.25">
      <c r="A34" s="70">
        <v>44259</v>
      </c>
      <c r="B34" s="12" t="s">
        <v>16</v>
      </c>
      <c r="C34" s="13">
        <v>21.2</v>
      </c>
      <c r="D34" s="13">
        <v>21.04</v>
      </c>
      <c r="E34" s="80">
        <f t="shared" si="0"/>
        <v>3.2000000000000028</v>
      </c>
    </row>
    <row r="35" spans="1:5" ht="15.75" x14ac:dyDescent="0.25">
      <c r="A35" s="70">
        <v>44300</v>
      </c>
      <c r="B35" s="12" t="s">
        <v>325</v>
      </c>
      <c r="C35" s="13">
        <v>21.05</v>
      </c>
      <c r="D35" s="13">
        <v>20.81</v>
      </c>
      <c r="E35" s="29">
        <f t="shared" si="0"/>
        <v>4.8000000000000398</v>
      </c>
    </row>
    <row r="36" spans="1:5" ht="15.75" x14ac:dyDescent="0.25">
      <c r="A36" s="70">
        <v>44300</v>
      </c>
      <c r="B36" s="12" t="s">
        <v>326</v>
      </c>
      <c r="C36" s="13">
        <v>21.2</v>
      </c>
      <c r="D36" s="13">
        <v>20.96</v>
      </c>
      <c r="E36" s="29">
        <f t="shared" si="0"/>
        <v>4.7999999999999687</v>
      </c>
    </row>
    <row r="37" spans="1:5" ht="15.75" x14ac:dyDescent="0.25">
      <c r="A37" s="70">
        <v>44300</v>
      </c>
      <c r="B37" s="12" t="s">
        <v>327</v>
      </c>
      <c r="C37" s="13">
        <v>21.22</v>
      </c>
      <c r="D37" s="13">
        <v>20.96</v>
      </c>
      <c r="E37" s="29">
        <f t="shared" si="0"/>
        <v>5.1999999999999602</v>
      </c>
    </row>
    <row r="38" spans="1:5" ht="15.75" x14ac:dyDescent="0.25">
      <c r="A38" s="70">
        <v>44300</v>
      </c>
      <c r="B38" s="12" t="s">
        <v>328</v>
      </c>
      <c r="C38" s="13">
        <v>21.11</v>
      </c>
      <c r="D38" s="13">
        <v>20.89</v>
      </c>
      <c r="E38" s="29">
        <f t="shared" si="0"/>
        <v>4.3999999999999773</v>
      </c>
    </row>
    <row r="39" spans="1:5" ht="15.75" x14ac:dyDescent="0.25">
      <c r="A39" s="70">
        <v>44300</v>
      </c>
      <c r="B39" s="12" t="s">
        <v>329</v>
      </c>
      <c r="C39" s="13">
        <v>21.08</v>
      </c>
      <c r="D39" s="13">
        <v>20.86</v>
      </c>
      <c r="E39" s="29">
        <f t="shared" si="0"/>
        <v>4.3999999999999773</v>
      </c>
    </row>
    <row r="40" spans="1:5" ht="15.75" x14ac:dyDescent="0.25">
      <c r="A40" s="70">
        <v>44300</v>
      </c>
      <c r="B40" s="12" t="s">
        <v>330</v>
      </c>
      <c r="C40" s="13">
        <v>20.97</v>
      </c>
      <c r="D40" s="13">
        <v>20.76</v>
      </c>
      <c r="E40" s="29">
        <f t="shared" si="0"/>
        <v>4.199999999999946</v>
      </c>
    </row>
    <row r="41" spans="1:5" ht="15.75" x14ac:dyDescent="0.25">
      <c r="A41" s="70">
        <v>44300</v>
      </c>
      <c r="B41" s="12" t="s">
        <v>331</v>
      </c>
      <c r="C41" s="13">
        <v>20.8</v>
      </c>
      <c r="D41" s="13">
        <v>20.56</v>
      </c>
      <c r="E41" s="29">
        <f t="shared" si="0"/>
        <v>4.8000000000000398</v>
      </c>
    </row>
    <row r="42" spans="1:5" ht="15.75" x14ac:dyDescent="0.25">
      <c r="A42" s="70">
        <v>44300</v>
      </c>
      <c r="B42" s="12" t="s">
        <v>332</v>
      </c>
      <c r="C42" s="13">
        <v>21.1</v>
      </c>
      <c r="D42" s="13">
        <v>20.87</v>
      </c>
      <c r="E42" s="29">
        <f t="shared" si="0"/>
        <v>4.6000000000000085</v>
      </c>
    </row>
    <row r="43" spans="1:5" ht="15.75" x14ac:dyDescent="0.25">
      <c r="A43" s="70">
        <v>44300</v>
      </c>
      <c r="B43" s="12" t="s">
        <v>333</v>
      </c>
      <c r="C43" s="13">
        <v>21.15</v>
      </c>
      <c r="D43" s="13">
        <v>20.85</v>
      </c>
      <c r="E43" s="29">
        <f t="shared" si="0"/>
        <v>5.9999999999999432</v>
      </c>
    </row>
    <row r="44" spans="1:5" ht="15.75" x14ac:dyDescent="0.25">
      <c r="A44" s="70">
        <v>44300</v>
      </c>
      <c r="B44" s="12" t="s">
        <v>334</v>
      </c>
      <c r="C44" s="13">
        <v>20.45</v>
      </c>
      <c r="D44" s="13">
        <v>20.239999999999998</v>
      </c>
      <c r="E44" s="29">
        <f t="shared" si="0"/>
        <v>4.2000000000000171</v>
      </c>
    </row>
    <row r="45" spans="1:5" ht="15.75" x14ac:dyDescent="0.25">
      <c r="A45" s="70">
        <v>44300</v>
      </c>
      <c r="B45" s="12" t="s">
        <v>335</v>
      </c>
      <c r="C45" s="13">
        <v>21.07</v>
      </c>
      <c r="D45" s="13">
        <v>20.75</v>
      </c>
      <c r="E45" s="29">
        <f t="shared" si="0"/>
        <v>6.4000000000000057</v>
      </c>
    </row>
    <row r="46" spans="1:5" ht="15.75" x14ac:dyDescent="0.25">
      <c r="A46" s="70">
        <v>44300</v>
      </c>
      <c r="B46" s="12" t="s">
        <v>336</v>
      </c>
      <c r="C46" s="13">
        <v>21.17</v>
      </c>
      <c r="D46" s="13">
        <v>20.85</v>
      </c>
      <c r="E46" s="29">
        <f t="shared" si="0"/>
        <v>6.4000000000000057</v>
      </c>
    </row>
    <row r="47" spans="1:5" ht="15.75" x14ac:dyDescent="0.25">
      <c r="A47" s="70">
        <v>44300</v>
      </c>
      <c r="B47" s="12" t="s">
        <v>16</v>
      </c>
      <c r="C47" s="13">
        <v>21.23</v>
      </c>
      <c r="D47" s="13">
        <v>21.08</v>
      </c>
      <c r="E47" s="80">
        <f t="shared" si="0"/>
        <v>3.0000000000000426</v>
      </c>
    </row>
    <row r="48" spans="1:5" ht="15.75" x14ac:dyDescent="0.25">
      <c r="A48" s="70">
        <v>44321</v>
      </c>
      <c r="B48" s="12" t="s">
        <v>144</v>
      </c>
      <c r="C48" s="13">
        <v>21.05</v>
      </c>
      <c r="D48" s="13">
        <v>20.88</v>
      </c>
      <c r="E48" s="29">
        <f t="shared" si="0"/>
        <v>3.4000000000000341</v>
      </c>
    </row>
    <row r="49" spans="1:5" ht="15.75" x14ac:dyDescent="0.25">
      <c r="A49" s="70">
        <v>44321</v>
      </c>
      <c r="B49" s="12" t="s">
        <v>145</v>
      </c>
      <c r="C49" s="13">
        <v>21.21</v>
      </c>
      <c r="D49" s="13">
        <v>21.04</v>
      </c>
      <c r="E49" s="29">
        <f t="shared" si="0"/>
        <v>3.4000000000000341</v>
      </c>
    </row>
    <row r="50" spans="1:5" ht="15.75" x14ac:dyDescent="0.25">
      <c r="A50" s="70">
        <v>44321</v>
      </c>
      <c r="B50" s="12" t="s">
        <v>146</v>
      </c>
      <c r="C50" s="13">
        <v>21.21</v>
      </c>
      <c r="D50" s="13">
        <v>21.05</v>
      </c>
      <c r="E50" s="29">
        <f t="shared" si="0"/>
        <v>3.2000000000000028</v>
      </c>
    </row>
    <row r="51" spans="1:5" ht="15.75" x14ac:dyDescent="0.25">
      <c r="A51" s="70">
        <v>44321</v>
      </c>
      <c r="B51" s="12" t="s">
        <v>147</v>
      </c>
      <c r="C51" s="13">
        <v>21.09</v>
      </c>
      <c r="D51" s="13">
        <v>20.93</v>
      </c>
      <c r="E51" s="29">
        <f t="shared" si="0"/>
        <v>3.2000000000000028</v>
      </c>
    </row>
    <row r="52" spans="1:5" ht="15.75" x14ac:dyDescent="0.25">
      <c r="A52" s="70">
        <v>44321</v>
      </c>
      <c r="B52" s="12" t="s">
        <v>148</v>
      </c>
      <c r="C52" s="13">
        <v>21.08</v>
      </c>
      <c r="D52" s="13">
        <v>20.93</v>
      </c>
      <c r="E52" s="29">
        <f t="shared" si="0"/>
        <v>2.9999999999999716</v>
      </c>
    </row>
    <row r="53" spans="1:5" ht="15.75" x14ac:dyDescent="0.25">
      <c r="A53" s="70">
        <v>44321</v>
      </c>
      <c r="B53" s="12" t="s">
        <v>149</v>
      </c>
      <c r="C53" s="13">
        <v>20.97</v>
      </c>
      <c r="D53" s="13">
        <v>20.76</v>
      </c>
      <c r="E53" s="29">
        <f t="shared" si="0"/>
        <v>4.199999999999946</v>
      </c>
    </row>
    <row r="54" spans="1:5" ht="15.75" x14ac:dyDescent="0.25">
      <c r="A54" s="70">
        <v>44321</v>
      </c>
      <c r="B54" s="12" t="s">
        <v>150</v>
      </c>
      <c r="C54" s="13">
        <v>20.8</v>
      </c>
      <c r="D54" s="13">
        <v>20.67</v>
      </c>
      <c r="E54" s="29">
        <f t="shared" si="0"/>
        <v>2.5999999999999801</v>
      </c>
    </row>
    <row r="55" spans="1:5" ht="15.75" x14ac:dyDescent="0.25">
      <c r="A55" s="70">
        <v>44321</v>
      </c>
      <c r="B55" s="12" t="s">
        <v>151</v>
      </c>
      <c r="C55" s="13">
        <v>21.1</v>
      </c>
      <c r="D55" s="13">
        <v>20.94</v>
      </c>
      <c r="E55" s="29">
        <f t="shared" si="0"/>
        <v>3.2000000000000028</v>
      </c>
    </row>
    <row r="56" spans="1:5" ht="15.75" x14ac:dyDescent="0.25">
      <c r="A56" s="70">
        <v>44321</v>
      </c>
      <c r="B56" s="12" t="s">
        <v>152</v>
      </c>
      <c r="C56" s="13">
        <v>21.14</v>
      </c>
      <c r="D56" s="13">
        <v>20.99</v>
      </c>
      <c r="E56" s="29">
        <f t="shared" si="0"/>
        <v>3.0000000000000426</v>
      </c>
    </row>
    <row r="57" spans="1:5" ht="15.75" x14ac:dyDescent="0.25">
      <c r="A57" s="70">
        <v>44321</v>
      </c>
      <c r="B57" s="12" t="s">
        <v>153</v>
      </c>
      <c r="C57" s="13">
        <v>20.440000000000001</v>
      </c>
      <c r="D57" s="13">
        <v>20.329999999999998</v>
      </c>
      <c r="E57" s="29">
        <f t="shared" si="0"/>
        <v>2.2000000000000597</v>
      </c>
    </row>
    <row r="58" spans="1:5" ht="15.75" x14ac:dyDescent="0.25">
      <c r="A58" s="70">
        <v>44321</v>
      </c>
      <c r="B58" s="12" t="s">
        <v>337</v>
      </c>
      <c r="C58" s="13">
        <v>21.06</v>
      </c>
      <c r="D58" s="13">
        <v>20.88</v>
      </c>
      <c r="E58" s="29">
        <f t="shared" si="0"/>
        <v>3.5999999999999943</v>
      </c>
    </row>
    <row r="59" spans="1:5" ht="15.75" x14ac:dyDescent="0.25">
      <c r="A59" s="70">
        <v>44321</v>
      </c>
      <c r="B59" s="12" t="s">
        <v>338</v>
      </c>
      <c r="C59" s="13">
        <v>21.16</v>
      </c>
      <c r="D59" s="13">
        <v>20.98</v>
      </c>
      <c r="E59" s="29">
        <f t="shared" si="0"/>
        <v>3.5999999999999943</v>
      </c>
    </row>
    <row r="60" spans="1:5" ht="15.75" x14ac:dyDescent="0.25">
      <c r="A60" s="70">
        <v>44321</v>
      </c>
      <c r="B60" s="12" t="s">
        <v>339</v>
      </c>
      <c r="C60" s="13">
        <v>21.06</v>
      </c>
      <c r="D60" s="13">
        <v>20.81</v>
      </c>
      <c r="E60" s="29">
        <f t="shared" si="0"/>
        <v>5</v>
      </c>
    </row>
    <row r="61" spans="1:5" ht="15.75" x14ac:dyDescent="0.25">
      <c r="A61" s="70">
        <v>44321</v>
      </c>
      <c r="B61" s="12" t="s">
        <v>340</v>
      </c>
      <c r="C61" s="13">
        <v>21.29</v>
      </c>
      <c r="D61" s="13">
        <v>21.13</v>
      </c>
      <c r="E61" s="29">
        <f t="shared" si="0"/>
        <v>3.2000000000000028</v>
      </c>
    </row>
    <row r="62" spans="1:5" ht="15.75" x14ac:dyDescent="0.25">
      <c r="A62" s="70">
        <v>44321</v>
      </c>
      <c r="B62" s="12" t="s">
        <v>341</v>
      </c>
      <c r="C62" s="13">
        <v>21.24</v>
      </c>
      <c r="D62" s="13">
        <v>21.08</v>
      </c>
      <c r="E62" s="29">
        <f t="shared" si="0"/>
        <v>3.2000000000000028</v>
      </c>
    </row>
    <row r="63" spans="1:5" ht="15.75" x14ac:dyDescent="0.25">
      <c r="A63" s="70">
        <v>44321</v>
      </c>
      <c r="B63" s="12" t="s">
        <v>16</v>
      </c>
      <c r="C63" s="13">
        <v>21.23</v>
      </c>
      <c r="D63" s="13">
        <v>21.09</v>
      </c>
      <c r="E63" s="80">
        <f t="shared" ref="E63:E78" si="2">(C63-D63)*20</f>
        <v>2.8000000000000114</v>
      </c>
    </row>
    <row r="64" spans="1:5" ht="15.75" x14ac:dyDescent="0.25">
      <c r="A64" s="70">
        <v>44322</v>
      </c>
      <c r="B64" s="12" t="s">
        <v>342</v>
      </c>
      <c r="C64" s="13">
        <v>21.04</v>
      </c>
      <c r="D64" s="13">
        <v>20.81</v>
      </c>
      <c r="E64" s="29">
        <f t="shared" si="2"/>
        <v>4.6000000000000085</v>
      </c>
    </row>
    <row r="65" spans="1:5" ht="15.75" x14ac:dyDescent="0.25">
      <c r="A65" s="70">
        <v>44322</v>
      </c>
      <c r="B65" s="12" t="s">
        <v>343</v>
      </c>
      <c r="C65" s="13">
        <v>21.22</v>
      </c>
      <c r="D65" s="13">
        <v>21.06</v>
      </c>
      <c r="E65" s="29">
        <f t="shared" si="2"/>
        <v>3.2000000000000028</v>
      </c>
    </row>
    <row r="66" spans="1:5" ht="15.75" x14ac:dyDescent="0.25">
      <c r="A66" s="70">
        <v>44322</v>
      </c>
      <c r="B66" s="12" t="s">
        <v>344</v>
      </c>
      <c r="C66" s="13">
        <v>21.22</v>
      </c>
      <c r="D66" s="13">
        <v>21</v>
      </c>
      <c r="E66" s="29">
        <f t="shared" si="2"/>
        <v>4.3999999999999773</v>
      </c>
    </row>
    <row r="67" spans="1:5" ht="15.75" x14ac:dyDescent="0.25">
      <c r="A67" s="70">
        <v>44322</v>
      </c>
      <c r="B67" s="12" t="s">
        <v>156</v>
      </c>
      <c r="C67" s="13">
        <v>21.11</v>
      </c>
      <c r="D67" s="13">
        <v>20.62</v>
      </c>
      <c r="E67" s="29">
        <f t="shared" si="2"/>
        <v>9.7999999999999687</v>
      </c>
    </row>
    <row r="68" spans="1:5" ht="15.75" x14ac:dyDescent="0.25">
      <c r="A68" s="70">
        <v>44322</v>
      </c>
      <c r="B68" s="12" t="s">
        <v>157</v>
      </c>
      <c r="C68" s="13">
        <v>21.09</v>
      </c>
      <c r="D68" s="13">
        <v>20.81</v>
      </c>
      <c r="E68" s="29">
        <f t="shared" si="2"/>
        <v>5.6000000000000227</v>
      </c>
    </row>
    <row r="69" spans="1:5" ht="15.75" x14ac:dyDescent="0.25">
      <c r="A69" s="70">
        <v>44322</v>
      </c>
      <c r="B69" s="12" t="s">
        <v>158</v>
      </c>
      <c r="C69" s="13">
        <v>20.98</v>
      </c>
      <c r="D69" s="13">
        <v>20.73</v>
      </c>
      <c r="E69" s="29">
        <f t="shared" si="2"/>
        <v>5</v>
      </c>
    </row>
    <row r="70" spans="1:5" ht="15.75" x14ac:dyDescent="0.25">
      <c r="A70" s="70">
        <v>44322</v>
      </c>
      <c r="B70" s="12" t="s">
        <v>159</v>
      </c>
      <c r="C70" s="13">
        <v>20.81</v>
      </c>
      <c r="D70" s="13">
        <v>20.41</v>
      </c>
      <c r="E70" s="29">
        <f t="shared" si="2"/>
        <v>7.9999999999999716</v>
      </c>
    </row>
    <row r="71" spans="1:5" ht="15.75" x14ac:dyDescent="0.25">
      <c r="A71" s="70">
        <v>44322</v>
      </c>
      <c r="B71" s="12" t="s">
        <v>160</v>
      </c>
      <c r="C71" s="13">
        <v>21.1</v>
      </c>
      <c r="D71" s="13">
        <v>20.78</v>
      </c>
      <c r="E71" s="29">
        <f t="shared" si="2"/>
        <v>6.4000000000000057</v>
      </c>
    </row>
    <row r="72" spans="1:5" ht="15.75" x14ac:dyDescent="0.25">
      <c r="A72" s="70">
        <v>44322</v>
      </c>
      <c r="B72" s="12" t="s">
        <v>161</v>
      </c>
      <c r="C72" s="13">
        <v>21.14</v>
      </c>
      <c r="D72" s="13">
        <v>20.72</v>
      </c>
      <c r="E72" s="29">
        <f t="shared" si="2"/>
        <v>8.4000000000000341</v>
      </c>
    </row>
    <row r="73" spans="1:5" ht="15.75" x14ac:dyDescent="0.25">
      <c r="A73" s="70">
        <v>44322</v>
      </c>
      <c r="B73" s="12" t="s">
        <v>162</v>
      </c>
      <c r="C73" s="13">
        <v>20.47</v>
      </c>
      <c r="D73" s="13">
        <v>20.29</v>
      </c>
      <c r="E73" s="29">
        <f t="shared" si="2"/>
        <v>3.5999999999999943</v>
      </c>
    </row>
    <row r="74" spans="1:5" ht="15.75" x14ac:dyDescent="0.25">
      <c r="A74" s="70">
        <v>44322</v>
      </c>
      <c r="B74" s="12" t="s">
        <v>163</v>
      </c>
      <c r="C74" s="13">
        <v>21.08</v>
      </c>
      <c r="D74" s="13">
        <v>21.07</v>
      </c>
      <c r="E74" s="29">
        <f t="shared" si="2"/>
        <v>0.19999999999996021</v>
      </c>
    </row>
    <row r="75" spans="1:5" ht="15.75" x14ac:dyDescent="0.25">
      <c r="A75" s="70">
        <v>44322</v>
      </c>
      <c r="B75" s="12" t="s">
        <v>164</v>
      </c>
      <c r="C75" s="13">
        <v>21.16</v>
      </c>
      <c r="D75" s="13">
        <v>21.15</v>
      </c>
      <c r="E75" s="29">
        <f t="shared" si="2"/>
        <v>0.20000000000003126</v>
      </c>
    </row>
    <row r="76" spans="1:5" ht="15.75" x14ac:dyDescent="0.25">
      <c r="A76" s="70">
        <v>44322</v>
      </c>
      <c r="B76" s="12" t="s">
        <v>165</v>
      </c>
      <c r="C76" s="13">
        <v>21.05</v>
      </c>
      <c r="D76" s="13">
        <v>21.03</v>
      </c>
      <c r="E76" s="29">
        <f t="shared" si="2"/>
        <v>0.39999999999999147</v>
      </c>
    </row>
    <row r="77" spans="1:5" ht="15.75" x14ac:dyDescent="0.25">
      <c r="A77" s="70">
        <v>44322</v>
      </c>
      <c r="B77" s="12" t="s">
        <v>166</v>
      </c>
      <c r="C77" s="13">
        <v>21.26</v>
      </c>
      <c r="D77" s="13">
        <v>21.25</v>
      </c>
      <c r="E77" s="29">
        <f t="shared" si="2"/>
        <v>0.20000000000003126</v>
      </c>
    </row>
    <row r="78" spans="1:5" ht="15.75" x14ac:dyDescent="0.25">
      <c r="A78" s="70">
        <v>44322</v>
      </c>
      <c r="B78" s="12" t="s">
        <v>167</v>
      </c>
      <c r="C78" s="13">
        <v>21.25</v>
      </c>
      <c r="D78" s="13">
        <v>21.24</v>
      </c>
      <c r="E78" s="29">
        <f t="shared" si="2"/>
        <v>0.20000000000003126</v>
      </c>
    </row>
    <row r="79" spans="1:5" ht="15.75" x14ac:dyDescent="0.25">
      <c r="A79" s="70">
        <v>44322</v>
      </c>
      <c r="B79" s="12" t="s">
        <v>16</v>
      </c>
      <c r="C79" s="13">
        <v>21.23</v>
      </c>
      <c r="D79" s="13">
        <v>21.09</v>
      </c>
      <c r="E79" s="80">
        <f t="shared" ref="E79" si="3">(C79-D79)*20</f>
        <v>2.8000000000000114</v>
      </c>
    </row>
    <row r="80" spans="1:5" ht="15.75" x14ac:dyDescent="0.25">
      <c r="A80" s="70"/>
      <c r="B80" s="12"/>
      <c r="C80" s="13"/>
      <c r="D80" s="13"/>
      <c r="E80" s="29"/>
    </row>
    <row r="81" spans="1:5" ht="15.75" x14ac:dyDescent="0.25">
      <c r="A81" s="70"/>
      <c r="B81" s="12"/>
      <c r="C81" s="13"/>
      <c r="D81" s="13"/>
      <c r="E81" s="29"/>
    </row>
    <row r="82" spans="1:5" ht="15.75" x14ac:dyDescent="0.25">
      <c r="A82" s="70"/>
      <c r="B82" s="12"/>
      <c r="C82" s="13"/>
      <c r="D82" s="13"/>
      <c r="E82" s="29"/>
    </row>
    <row r="83" spans="1:5" ht="15.75" x14ac:dyDescent="0.25">
      <c r="A83" s="70"/>
      <c r="B83" s="12"/>
      <c r="C83" s="13"/>
      <c r="D83" s="13"/>
      <c r="E83" s="29"/>
    </row>
    <row r="84" spans="1:5" ht="15.75" x14ac:dyDescent="0.25">
      <c r="A84" s="70"/>
      <c r="B84" s="12"/>
      <c r="C84" s="13"/>
      <c r="D84" s="13"/>
      <c r="E84" s="29"/>
    </row>
    <row r="85" spans="1:5" ht="15.75" x14ac:dyDescent="0.25">
      <c r="A85" s="70"/>
      <c r="B85" s="12"/>
      <c r="C85" s="13"/>
      <c r="D85" s="13"/>
      <c r="E85" s="29"/>
    </row>
    <row r="86" spans="1:5" ht="15.75" x14ac:dyDescent="0.25">
      <c r="A86" s="70"/>
      <c r="B86" s="12"/>
      <c r="C86" s="13"/>
      <c r="D86" s="13"/>
      <c r="E86" s="29"/>
    </row>
    <row r="87" spans="1:5" ht="15.75" x14ac:dyDescent="0.25">
      <c r="A87" s="70"/>
      <c r="B87" s="12"/>
      <c r="C87" s="13"/>
      <c r="D87" s="13"/>
      <c r="E87" s="29"/>
    </row>
    <row r="88" spans="1:5" ht="15.75" x14ac:dyDescent="0.25">
      <c r="A88" s="70"/>
      <c r="B88" s="12"/>
      <c r="C88" s="13"/>
      <c r="D88" s="13"/>
      <c r="E88" s="29"/>
    </row>
    <row r="89" spans="1:5" ht="15.75" x14ac:dyDescent="0.25">
      <c r="A89" s="70"/>
      <c r="B89" s="12"/>
      <c r="C89" s="13"/>
      <c r="D89" s="13"/>
      <c r="E89" s="29"/>
    </row>
    <row r="90" spans="1:5" ht="15.75" x14ac:dyDescent="0.25">
      <c r="A90" s="70"/>
      <c r="B90" s="12"/>
      <c r="C90" s="13"/>
      <c r="D90" s="13"/>
      <c r="E90" s="29"/>
    </row>
    <row r="91" spans="1:5" ht="15.75" x14ac:dyDescent="0.25">
      <c r="A91" s="70"/>
      <c r="B91" s="12"/>
      <c r="C91" s="13"/>
      <c r="D91" s="13"/>
      <c r="E91" s="29"/>
    </row>
    <row r="92" spans="1:5" ht="15.75" x14ac:dyDescent="0.25">
      <c r="A92" s="70"/>
      <c r="B92" s="12"/>
      <c r="C92" s="13"/>
      <c r="D92" s="13"/>
      <c r="E92" s="29"/>
    </row>
    <row r="93" spans="1:5" ht="15.75" x14ac:dyDescent="0.25">
      <c r="A93" s="70"/>
      <c r="B93" s="12"/>
      <c r="C93" s="13"/>
      <c r="D93" s="13"/>
      <c r="E93" s="29"/>
    </row>
    <row r="94" spans="1:5" ht="15.75" x14ac:dyDescent="0.25">
      <c r="A94" s="70"/>
      <c r="B94" s="12"/>
      <c r="C94" s="13"/>
      <c r="D94" s="13"/>
      <c r="E94" s="29"/>
    </row>
    <row r="95" spans="1:5" ht="15.75" x14ac:dyDescent="0.25">
      <c r="A95" s="70"/>
      <c r="B95" s="12"/>
      <c r="C95" s="13"/>
      <c r="D95" s="13"/>
      <c r="E95" s="29"/>
    </row>
    <row r="96" spans="1:5" ht="15.75" x14ac:dyDescent="0.25">
      <c r="A96" s="70"/>
      <c r="B96" s="12"/>
      <c r="C96" s="13"/>
      <c r="D96" s="13"/>
      <c r="E96" s="29"/>
    </row>
    <row r="97" spans="1:5" ht="15.75" x14ac:dyDescent="0.25">
      <c r="A97" s="70"/>
      <c r="B97" s="12"/>
      <c r="C97" s="13"/>
      <c r="D97" s="13"/>
      <c r="E97" s="29"/>
    </row>
    <row r="98" spans="1:5" ht="15.75" x14ac:dyDescent="0.25">
      <c r="A98" s="70"/>
      <c r="B98" s="12"/>
      <c r="C98" s="13"/>
      <c r="D98" s="13"/>
      <c r="E98" s="29"/>
    </row>
    <row r="99" spans="1:5" ht="15.75" x14ac:dyDescent="0.25">
      <c r="A99" s="70"/>
      <c r="B99" s="12"/>
      <c r="C99" s="13"/>
      <c r="D99" s="13"/>
      <c r="E99" s="29"/>
    </row>
    <row r="100" spans="1:5" ht="15.75" x14ac:dyDescent="0.25">
      <c r="A100" s="70"/>
      <c r="B100" s="12"/>
      <c r="C100" s="13"/>
      <c r="D100" s="13"/>
      <c r="E100" s="29"/>
    </row>
    <row r="101" spans="1:5" ht="15.75" x14ac:dyDescent="0.25">
      <c r="A101" s="70"/>
      <c r="B101" s="12"/>
      <c r="C101" s="13"/>
      <c r="D101" s="13"/>
      <c r="E101" s="29"/>
    </row>
    <row r="102" spans="1:5" ht="15.75" x14ac:dyDescent="0.25">
      <c r="A102" s="70"/>
      <c r="B102" s="12"/>
      <c r="C102" s="13"/>
      <c r="D102" s="13"/>
      <c r="E102" s="29"/>
    </row>
    <row r="103" spans="1:5" ht="15.75" x14ac:dyDescent="0.25">
      <c r="A103" s="70"/>
      <c r="B103" s="12"/>
      <c r="C103" s="13"/>
      <c r="D103" s="13"/>
      <c r="E103" s="29"/>
    </row>
    <row r="104" spans="1:5" ht="15.75" x14ac:dyDescent="0.25">
      <c r="A104" s="70"/>
      <c r="B104" s="12"/>
      <c r="C104" s="13"/>
      <c r="D104" s="13"/>
      <c r="E104" s="29"/>
    </row>
    <row r="105" spans="1:5" ht="15.75" x14ac:dyDescent="0.25">
      <c r="A105" s="70"/>
      <c r="B105" s="12"/>
      <c r="C105" s="13"/>
      <c r="D105" s="13"/>
      <c r="E105" s="29"/>
    </row>
    <row r="106" spans="1:5" ht="15.75" x14ac:dyDescent="0.25">
      <c r="A106" s="70"/>
      <c r="B106" s="12"/>
      <c r="C106" s="13"/>
      <c r="D106" s="13"/>
      <c r="E106" s="29"/>
    </row>
    <row r="107" spans="1:5" ht="15.75" x14ac:dyDescent="0.25">
      <c r="A107" s="70"/>
      <c r="B107" s="12"/>
      <c r="C107" s="13"/>
      <c r="D107" s="13"/>
      <c r="E107" s="29"/>
    </row>
    <row r="108" spans="1:5" ht="15.75" x14ac:dyDescent="0.25">
      <c r="A108" s="70"/>
      <c r="B108" s="12"/>
      <c r="C108" s="13"/>
      <c r="D108" s="13"/>
      <c r="E108" s="29"/>
    </row>
    <row r="109" spans="1:5" ht="15.75" x14ac:dyDescent="0.25">
      <c r="A109" s="70"/>
      <c r="B109" s="12"/>
      <c r="C109" s="13"/>
      <c r="D109" s="13"/>
      <c r="E109" s="29"/>
    </row>
    <row r="110" spans="1:5" ht="15.75" x14ac:dyDescent="0.25">
      <c r="A110" s="70"/>
      <c r="B110" s="12"/>
      <c r="C110" s="13"/>
      <c r="D110" s="13"/>
      <c r="E110" s="29"/>
    </row>
    <row r="111" spans="1:5" ht="15.75" x14ac:dyDescent="0.25">
      <c r="A111" s="70"/>
      <c r="B111" s="12"/>
      <c r="C111" s="13"/>
      <c r="D111" s="13"/>
      <c r="E111" s="29"/>
    </row>
    <row r="112" spans="1:5" ht="15.75" x14ac:dyDescent="0.25">
      <c r="A112" s="70"/>
      <c r="B112" s="12"/>
      <c r="C112" s="13"/>
      <c r="D112" s="13"/>
      <c r="E112" s="29"/>
    </row>
    <row r="113" spans="1:5" ht="15.75" x14ac:dyDescent="0.25">
      <c r="A113" s="70"/>
      <c r="B113" s="12"/>
      <c r="C113" s="13"/>
      <c r="D113" s="13"/>
      <c r="E113" s="29"/>
    </row>
    <row r="114" spans="1:5" ht="15.75" x14ac:dyDescent="0.25">
      <c r="A114" s="70"/>
      <c r="B114" s="12"/>
      <c r="C114" s="13"/>
      <c r="D114" s="13"/>
      <c r="E114" s="29"/>
    </row>
    <row r="115" spans="1:5" ht="15.75" x14ac:dyDescent="0.25">
      <c r="A115" s="70"/>
      <c r="B115" s="12"/>
      <c r="C115" s="13"/>
      <c r="D115" s="13"/>
      <c r="E115" s="29"/>
    </row>
    <row r="116" spans="1:5" ht="15.75" x14ac:dyDescent="0.25">
      <c r="A116" s="70"/>
      <c r="B116" s="12"/>
      <c r="C116" s="13"/>
      <c r="D116" s="13"/>
      <c r="E116" s="29"/>
    </row>
    <row r="117" spans="1:5" ht="15.75" x14ac:dyDescent="0.25">
      <c r="A117" s="70"/>
      <c r="B117" s="12"/>
      <c r="C117" s="13"/>
      <c r="D117" s="13"/>
      <c r="E117" s="29"/>
    </row>
    <row r="118" spans="1:5" ht="15.75" x14ac:dyDescent="0.25">
      <c r="A118" s="70"/>
      <c r="B118" s="12"/>
      <c r="C118" s="13"/>
      <c r="D118" s="13"/>
      <c r="E118" s="29"/>
    </row>
    <row r="119" spans="1:5" ht="15.75" x14ac:dyDescent="0.25">
      <c r="A119" s="70"/>
      <c r="B119" s="12"/>
      <c r="C119" s="13"/>
      <c r="D119" s="13"/>
      <c r="E119" s="29"/>
    </row>
    <row r="120" spans="1:5" ht="15.75" x14ac:dyDescent="0.25">
      <c r="A120" s="70"/>
      <c r="B120" s="12"/>
      <c r="C120" s="13"/>
      <c r="D120" s="13"/>
      <c r="E120" s="29"/>
    </row>
    <row r="121" spans="1:5" ht="15.75" x14ac:dyDescent="0.25">
      <c r="A121" s="70"/>
      <c r="B121" s="12"/>
      <c r="C121" s="13"/>
      <c r="D121" s="13"/>
      <c r="E121" s="29"/>
    </row>
    <row r="122" spans="1:5" ht="15.75" x14ac:dyDescent="0.25">
      <c r="A122" s="70"/>
      <c r="B122" s="12"/>
      <c r="C122" s="13"/>
      <c r="D122" s="13"/>
      <c r="E122" s="29"/>
    </row>
    <row r="123" spans="1:5" ht="15.75" x14ac:dyDescent="0.25">
      <c r="A123" s="70"/>
      <c r="B123" s="12"/>
      <c r="C123" s="13"/>
      <c r="D123" s="13"/>
      <c r="E123" s="29"/>
    </row>
    <row r="124" spans="1:5" ht="15.75" x14ac:dyDescent="0.25">
      <c r="A124" s="70"/>
      <c r="B124" s="12"/>
      <c r="C124" s="13"/>
      <c r="D124" s="13"/>
      <c r="E124" s="29"/>
    </row>
    <row r="125" spans="1:5" ht="15.75" x14ac:dyDescent="0.25">
      <c r="A125" s="70"/>
      <c r="B125" s="12"/>
      <c r="C125" s="13"/>
      <c r="D125" s="13"/>
      <c r="E125" s="29"/>
    </row>
    <row r="126" spans="1:5" ht="15.75" x14ac:dyDescent="0.25">
      <c r="A126" s="70"/>
      <c r="B126" s="12"/>
      <c r="C126" s="13"/>
      <c r="D126" s="13"/>
      <c r="E126" s="29"/>
    </row>
    <row r="127" spans="1:5" ht="15.75" x14ac:dyDescent="0.25">
      <c r="A127" s="70"/>
      <c r="B127" s="12"/>
      <c r="C127" s="13"/>
      <c r="D127" s="13"/>
      <c r="E127" s="29"/>
    </row>
    <row r="128" spans="1:5" ht="15.75" x14ac:dyDescent="0.25">
      <c r="A128" s="70"/>
      <c r="B128" s="12"/>
      <c r="C128" s="13"/>
      <c r="D128" s="13"/>
      <c r="E128" s="29"/>
    </row>
    <row r="129" spans="1:5" ht="15.75" x14ac:dyDescent="0.25">
      <c r="A129" s="70"/>
      <c r="B129" s="12"/>
      <c r="C129" s="13"/>
      <c r="D129" s="13"/>
      <c r="E129" s="29"/>
    </row>
    <row r="130" spans="1:5" ht="15.75" x14ac:dyDescent="0.25">
      <c r="A130" s="70"/>
      <c r="B130" s="12"/>
      <c r="C130" s="13"/>
      <c r="D130" s="13"/>
      <c r="E130" s="29"/>
    </row>
    <row r="131" spans="1:5" ht="15.75" x14ac:dyDescent="0.25">
      <c r="A131" s="70"/>
      <c r="B131" s="191"/>
      <c r="C131" s="13"/>
      <c r="D131" s="13"/>
      <c r="E131" s="29"/>
    </row>
    <row r="132" spans="1:5" ht="15.75" x14ac:dyDescent="0.25">
      <c r="A132" s="70"/>
      <c r="B132" s="191"/>
      <c r="C132" s="13"/>
      <c r="D132" s="13"/>
      <c r="E132" s="29"/>
    </row>
    <row r="133" spans="1:5" ht="15.75" x14ac:dyDescent="0.25">
      <c r="A133" s="70"/>
      <c r="B133" s="12"/>
      <c r="C133" s="13"/>
      <c r="D133" s="13"/>
      <c r="E133" s="29"/>
    </row>
    <row r="134" spans="1:5" ht="15.75" x14ac:dyDescent="0.25">
      <c r="A134" s="70"/>
      <c r="B134" s="12"/>
      <c r="C134" s="13"/>
      <c r="D134" s="13"/>
      <c r="E134" s="29"/>
    </row>
    <row r="135" spans="1:5" ht="15.75" x14ac:dyDescent="0.25">
      <c r="A135" s="70"/>
      <c r="B135" s="12"/>
      <c r="C135" s="13"/>
      <c r="D135" s="13"/>
      <c r="E135" s="29"/>
    </row>
    <row r="136" spans="1:5" ht="15.75" x14ac:dyDescent="0.25">
      <c r="A136" s="70"/>
      <c r="B136" s="12"/>
      <c r="C136" s="13"/>
      <c r="D136" s="13"/>
      <c r="E136" s="29"/>
    </row>
    <row r="137" spans="1:5" ht="15.75" x14ac:dyDescent="0.25">
      <c r="A137" s="70"/>
      <c r="B137" s="12"/>
      <c r="C137" s="13"/>
      <c r="D137" s="13"/>
      <c r="E137" s="29"/>
    </row>
    <row r="138" spans="1:5" ht="15.75" x14ac:dyDescent="0.25">
      <c r="A138" s="70"/>
      <c r="B138" s="12"/>
      <c r="C138" s="13"/>
      <c r="D138" s="13"/>
      <c r="E138" s="29"/>
    </row>
    <row r="139" spans="1:5" ht="15.75" x14ac:dyDescent="0.25">
      <c r="A139" s="70"/>
      <c r="B139" s="12"/>
      <c r="C139" s="13"/>
      <c r="D139" s="13"/>
      <c r="E139" s="29"/>
    </row>
    <row r="140" spans="1:5" ht="15.75" x14ac:dyDescent="0.25">
      <c r="A140" s="70"/>
      <c r="B140" s="12"/>
      <c r="C140" s="13"/>
      <c r="D140" s="13"/>
      <c r="E140" s="29"/>
    </row>
    <row r="141" spans="1:5" ht="15.75" x14ac:dyDescent="0.25">
      <c r="A141" s="70"/>
      <c r="B141" s="12"/>
      <c r="C141" s="13"/>
      <c r="D141" s="13"/>
      <c r="E141" s="29"/>
    </row>
    <row r="142" spans="1:5" ht="15.75" x14ac:dyDescent="0.25">
      <c r="A142" s="70"/>
      <c r="B142" s="12"/>
      <c r="C142" s="13"/>
      <c r="D142" s="13"/>
      <c r="E142" s="29"/>
    </row>
    <row r="143" spans="1:5" ht="15.75" x14ac:dyDescent="0.25">
      <c r="A143" s="70"/>
      <c r="B143" s="12"/>
      <c r="C143" s="13"/>
      <c r="D143" s="13"/>
      <c r="E143" s="29"/>
    </row>
    <row r="144" spans="1:5" ht="15.75" x14ac:dyDescent="0.25">
      <c r="A144" s="70"/>
      <c r="B144" s="12"/>
      <c r="C144" s="13"/>
      <c r="D144" s="13"/>
      <c r="E144" s="29"/>
    </row>
    <row r="145" spans="1:5" ht="15.75" x14ac:dyDescent="0.25">
      <c r="A145" s="70"/>
      <c r="B145" s="12"/>
      <c r="C145" s="13"/>
      <c r="D145" s="13"/>
      <c r="E145" s="29"/>
    </row>
    <row r="146" spans="1:5" ht="15.75" x14ac:dyDescent="0.25">
      <c r="A146" s="70"/>
      <c r="B146" s="12"/>
      <c r="C146" s="13"/>
      <c r="D146" s="13"/>
      <c r="E146" s="29"/>
    </row>
    <row r="147" spans="1:5" ht="15.75" x14ac:dyDescent="0.25">
      <c r="A147" s="70"/>
      <c r="B147" s="12"/>
      <c r="C147" s="13"/>
      <c r="D147" s="13"/>
      <c r="E147" s="29"/>
    </row>
    <row r="148" spans="1:5" ht="15.75" x14ac:dyDescent="0.25">
      <c r="A148" s="70"/>
      <c r="B148" s="12"/>
      <c r="C148" s="13"/>
      <c r="D148" s="13"/>
      <c r="E148" s="29"/>
    </row>
    <row r="149" spans="1:5" ht="15.75" x14ac:dyDescent="0.25">
      <c r="A149" s="70"/>
      <c r="B149" s="12"/>
      <c r="C149" s="13"/>
      <c r="D149" s="13"/>
      <c r="E149" s="29"/>
    </row>
    <row r="150" spans="1:5" ht="15.75" x14ac:dyDescent="0.25">
      <c r="A150" s="70"/>
      <c r="B150" s="12"/>
      <c r="C150" s="13"/>
      <c r="D150" s="13"/>
      <c r="E150" s="29"/>
    </row>
    <row r="151" spans="1:5" ht="15.75" x14ac:dyDescent="0.25">
      <c r="A151" s="70"/>
      <c r="B151" s="12"/>
      <c r="C151" s="13"/>
      <c r="D151" s="13"/>
      <c r="E151" s="29"/>
    </row>
    <row r="152" spans="1:5" ht="15.75" x14ac:dyDescent="0.25">
      <c r="A152" s="70"/>
      <c r="B152" s="12"/>
      <c r="C152" s="13"/>
      <c r="D152" s="13"/>
      <c r="E152" s="29"/>
    </row>
    <row r="153" spans="1:5" ht="15.75" x14ac:dyDescent="0.25">
      <c r="A153" s="70"/>
      <c r="B153" s="12"/>
      <c r="C153" s="13"/>
      <c r="D153" s="13"/>
      <c r="E153" s="29"/>
    </row>
    <row r="154" spans="1:5" ht="15.75" x14ac:dyDescent="0.25">
      <c r="A154" s="70"/>
      <c r="B154" s="12"/>
      <c r="C154" s="13"/>
      <c r="D154" s="13"/>
      <c r="E154" s="29"/>
    </row>
    <row r="155" spans="1:5" ht="15.75" x14ac:dyDescent="0.25">
      <c r="A155" s="70"/>
      <c r="B155" s="12"/>
      <c r="C155" s="13"/>
      <c r="D155" s="13"/>
      <c r="E155" s="29"/>
    </row>
    <row r="156" spans="1:5" ht="15.75" x14ac:dyDescent="0.25">
      <c r="A156" s="70"/>
      <c r="B156" s="12"/>
      <c r="C156" s="13"/>
      <c r="D156" s="13"/>
      <c r="E156" s="29"/>
    </row>
    <row r="157" spans="1:5" ht="15.75" x14ac:dyDescent="0.25">
      <c r="A157" s="70"/>
      <c r="B157" s="12"/>
      <c r="C157" s="13"/>
      <c r="D157" s="13"/>
      <c r="E157" s="29"/>
    </row>
    <row r="158" spans="1:5" ht="15.75" x14ac:dyDescent="0.25">
      <c r="A158" s="70"/>
      <c r="B158" s="12"/>
      <c r="C158" s="13"/>
      <c r="D158" s="13"/>
      <c r="E158" s="29"/>
    </row>
    <row r="159" spans="1:5" ht="15.75" x14ac:dyDescent="0.25">
      <c r="A159" s="70"/>
      <c r="B159" s="12"/>
      <c r="C159" s="13"/>
      <c r="D159" s="13"/>
      <c r="E159" s="29"/>
    </row>
    <row r="160" spans="1:5" ht="15.75" x14ac:dyDescent="0.25">
      <c r="A160" s="70"/>
      <c r="B160" s="12"/>
      <c r="C160" s="13"/>
      <c r="D160" s="13"/>
      <c r="E160" s="29"/>
    </row>
    <row r="161" spans="1:5" ht="15.75" x14ac:dyDescent="0.25">
      <c r="A161" s="70"/>
      <c r="B161" s="12"/>
      <c r="C161" s="13"/>
      <c r="D161" s="13"/>
      <c r="E161" s="29"/>
    </row>
    <row r="162" spans="1:5" ht="15.75" x14ac:dyDescent="0.25">
      <c r="A162" s="70"/>
      <c r="B162" s="12"/>
      <c r="C162" s="13"/>
      <c r="D162" s="13"/>
      <c r="E162" s="29"/>
    </row>
    <row r="163" spans="1:5" ht="15.75" x14ac:dyDescent="0.25">
      <c r="A163" s="70"/>
      <c r="B163" s="12"/>
      <c r="C163" s="13"/>
      <c r="D163" s="13"/>
      <c r="E163" s="29"/>
    </row>
    <row r="164" spans="1:5" ht="15.75" x14ac:dyDescent="0.25">
      <c r="A164" s="70"/>
      <c r="B164" s="12"/>
      <c r="C164" s="13"/>
      <c r="D164" s="13"/>
      <c r="E164" s="29"/>
    </row>
    <row r="165" spans="1:5" ht="15.75" x14ac:dyDescent="0.25">
      <c r="A165" s="70"/>
      <c r="B165" s="12"/>
      <c r="C165" s="13"/>
      <c r="D165" s="13"/>
      <c r="E165" s="29"/>
    </row>
    <row r="166" spans="1:5" ht="15.75" x14ac:dyDescent="0.25">
      <c r="A166" s="70"/>
      <c r="B166" s="12"/>
      <c r="C166" s="13"/>
      <c r="D166" s="13"/>
      <c r="E166" s="29"/>
    </row>
    <row r="167" spans="1:5" ht="15.75" x14ac:dyDescent="0.25">
      <c r="A167" s="70"/>
      <c r="B167" s="12"/>
      <c r="C167" s="13"/>
      <c r="D167" s="13"/>
      <c r="E167" s="29"/>
    </row>
    <row r="168" spans="1:5" ht="15.75" x14ac:dyDescent="0.25">
      <c r="A168" s="70"/>
      <c r="B168" s="12"/>
      <c r="C168" s="13"/>
      <c r="D168" s="13"/>
      <c r="E168" s="29"/>
    </row>
    <row r="169" spans="1:5" ht="15.75" x14ac:dyDescent="0.25">
      <c r="A169" s="70"/>
      <c r="B169" s="12"/>
      <c r="C169" s="13"/>
      <c r="D169" s="13"/>
      <c r="E169" s="29"/>
    </row>
    <row r="170" spans="1:5" ht="15.75" x14ac:dyDescent="0.25">
      <c r="A170" s="70"/>
      <c r="B170" s="12"/>
      <c r="C170" s="13"/>
      <c r="D170" s="13"/>
      <c r="E170" s="29"/>
    </row>
    <row r="171" spans="1:5" ht="15.75" x14ac:dyDescent="0.25">
      <c r="A171" s="70"/>
      <c r="B171" s="12"/>
      <c r="C171" s="13"/>
      <c r="D171" s="13"/>
      <c r="E171" s="29"/>
    </row>
    <row r="172" spans="1:5" ht="15.75" x14ac:dyDescent="0.25">
      <c r="A172" s="70"/>
      <c r="B172" s="12"/>
      <c r="C172" s="13"/>
      <c r="D172" s="13"/>
      <c r="E172" s="29"/>
    </row>
    <row r="173" spans="1:5" ht="15.75" x14ac:dyDescent="0.25">
      <c r="A173" s="70"/>
      <c r="B173" s="12"/>
      <c r="C173" s="13"/>
      <c r="D173" s="13"/>
      <c r="E173" s="29"/>
    </row>
    <row r="174" spans="1:5" ht="15.75" x14ac:dyDescent="0.25">
      <c r="A174" s="70"/>
      <c r="B174" s="12"/>
      <c r="C174" s="13"/>
      <c r="D174" s="13"/>
      <c r="E174" s="29"/>
    </row>
    <row r="175" spans="1:5" ht="15.75" x14ac:dyDescent="0.25">
      <c r="A175" s="70"/>
      <c r="B175" s="12"/>
      <c r="C175" s="13"/>
      <c r="D175" s="13"/>
      <c r="E175" s="29"/>
    </row>
    <row r="176" spans="1:5" ht="15.75" x14ac:dyDescent="0.25">
      <c r="A176" s="70"/>
      <c r="B176" s="12"/>
      <c r="C176" s="13"/>
      <c r="D176" s="13"/>
      <c r="E176" s="29"/>
    </row>
    <row r="177" spans="1:5" ht="15.75" x14ac:dyDescent="0.25">
      <c r="A177" s="70"/>
      <c r="B177" s="12"/>
      <c r="C177" s="13"/>
      <c r="D177" s="13"/>
      <c r="E177" s="29"/>
    </row>
    <row r="178" spans="1:5" ht="15.75" x14ac:dyDescent="0.25">
      <c r="A178" s="70"/>
      <c r="B178" s="12"/>
      <c r="C178" s="13"/>
      <c r="D178" s="13"/>
      <c r="E178" s="29"/>
    </row>
    <row r="179" spans="1:5" ht="15.75" x14ac:dyDescent="0.25">
      <c r="A179" s="70"/>
      <c r="B179" s="12"/>
      <c r="C179" s="13"/>
      <c r="D179" s="13"/>
      <c r="E179" s="29"/>
    </row>
    <row r="180" spans="1:5" ht="15.75" x14ac:dyDescent="0.25">
      <c r="A180" s="70"/>
      <c r="B180" s="12"/>
      <c r="C180" s="13"/>
      <c r="D180" s="13"/>
      <c r="E180" s="29"/>
    </row>
    <row r="181" spans="1:5" ht="15.75" x14ac:dyDescent="0.25">
      <c r="A181" s="70"/>
      <c r="B181" s="12"/>
      <c r="C181" s="13"/>
      <c r="D181" s="13"/>
      <c r="E181" s="29"/>
    </row>
    <row r="182" spans="1:5" ht="15.75" x14ac:dyDescent="0.25">
      <c r="A182" s="70"/>
      <c r="B182" s="12"/>
      <c r="C182" s="13"/>
      <c r="D182" s="13"/>
      <c r="E182" s="29"/>
    </row>
    <row r="183" spans="1:5" ht="15.75" x14ac:dyDescent="0.25">
      <c r="A183" s="70"/>
      <c r="B183" s="12"/>
      <c r="C183" s="13"/>
      <c r="D183" s="13"/>
      <c r="E183" s="29"/>
    </row>
    <row r="184" spans="1:5" ht="15.75" x14ac:dyDescent="0.25">
      <c r="A184" s="70"/>
      <c r="B184" s="12"/>
      <c r="C184" s="13"/>
      <c r="D184" s="13"/>
      <c r="E184" s="29"/>
    </row>
    <row r="185" spans="1:5" ht="15.75" x14ac:dyDescent="0.25">
      <c r="A185" s="70"/>
      <c r="B185" s="12"/>
      <c r="C185" s="13"/>
      <c r="D185" s="13"/>
      <c r="E185" s="29"/>
    </row>
    <row r="186" spans="1:5" ht="15.75" x14ac:dyDescent="0.25">
      <c r="A186" s="70"/>
      <c r="B186" s="12"/>
      <c r="C186" s="13"/>
      <c r="D186" s="13"/>
      <c r="E186" s="29"/>
    </row>
    <row r="187" spans="1:5" ht="15.75" x14ac:dyDescent="0.25">
      <c r="A187" s="70"/>
      <c r="B187" s="12"/>
      <c r="C187" s="13"/>
      <c r="D187" s="13"/>
      <c r="E187" s="29"/>
    </row>
    <row r="188" spans="1:5" ht="15.75" x14ac:dyDescent="0.25">
      <c r="A188" s="70"/>
      <c r="B188" s="12"/>
      <c r="C188" s="13"/>
      <c r="D188" s="13"/>
      <c r="E188" s="29"/>
    </row>
    <row r="189" spans="1:5" ht="15.75" x14ac:dyDescent="0.25">
      <c r="A189" s="70"/>
      <c r="B189" s="12"/>
      <c r="C189" s="13"/>
      <c r="D189" s="13"/>
      <c r="E189" s="29"/>
    </row>
    <row r="190" spans="1:5" ht="15.75" x14ac:dyDescent="0.25">
      <c r="A190" s="70"/>
      <c r="B190" s="12"/>
      <c r="C190" s="13"/>
      <c r="D190" s="13"/>
      <c r="E190" s="29"/>
    </row>
    <row r="191" spans="1:5" ht="15.75" x14ac:dyDescent="0.25">
      <c r="A191" s="70"/>
      <c r="B191" s="12"/>
      <c r="C191" s="13"/>
      <c r="D191" s="13"/>
      <c r="E191" s="29"/>
    </row>
    <row r="192" spans="1:5" ht="15.75" x14ac:dyDescent="0.25">
      <c r="A192" s="70"/>
      <c r="B192" s="12"/>
      <c r="C192" s="13"/>
      <c r="D192" s="13"/>
      <c r="E192" s="29"/>
    </row>
    <row r="193" spans="1:5" ht="15.75" x14ac:dyDescent="0.25">
      <c r="A193" s="70"/>
      <c r="B193" s="12"/>
      <c r="C193" s="13"/>
      <c r="D193" s="13"/>
      <c r="E193" s="29"/>
    </row>
    <row r="194" spans="1:5" ht="15.75" x14ac:dyDescent="0.25">
      <c r="A194" s="70"/>
      <c r="B194" s="12"/>
      <c r="C194" s="13"/>
      <c r="D194" s="13"/>
      <c r="E194" s="29"/>
    </row>
    <row r="195" spans="1:5" ht="15.75" x14ac:dyDescent="0.25">
      <c r="A195" s="70"/>
      <c r="B195" s="12"/>
      <c r="C195" s="13"/>
      <c r="D195" s="13"/>
      <c r="E195" s="29"/>
    </row>
    <row r="196" spans="1:5" ht="15.75" x14ac:dyDescent="0.25">
      <c r="A196" s="70"/>
      <c r="B196" s="12"/>
      <c r="C196" s="13"/>
      <c r="D196" s="13"/>
      <c r="E196" s="29"/>
    </row>
    <row r="197" spans="1:5" ht="15.75" x14ac:dyDescent="0.25">
      <c r="A197" s="70"/>
      <c r="B197" s="12"/>
      <c r="C197" s="13"/>
      <c r="D197" s="13"/>
      <c r="E197" s="29"/>
    </row>
    <row r="198" spans="1:5" ht="15.75" x14ac:dyDescent="0.25">
      <c r="A198" s="70"/>
      <c r="C198" s="13"/>
      <c r="D198" s="13"/>
      <c r="E198" s="29"/>
    </row>
    <row r="199" spans="1:5" x14ac:dyDescent="0.25">
      <c r="A199" s="70"/>
    </row>
    <row r="200" spans="1:5" x14ac:dyDescent="0.25">
      <c r="A200" s="70"/>
    </row>
    <row r="201" spans="1:5" x14ac:dyDescent="0.25">
      <c r="A201" s="70"/>
    </row>
    <row r="202" spans="1:5" x14ac:dyDescent="0.25">
      <c r="A202" s="70"/>
    </row>
    <row r="203" spans="1:5" x14ac:dyDescent="0.25">
      <c r="A203" s="70"/>
    </row>
    <row r="204" spans="1:5" x14ac:dyDescent="0.25">
      <c r="A204" s="70"/>
    </row>
    <row r="205" spans="1:5" x14ac:dyDescent="0.25">
      <c r="A205" s="70"/>
    </row>
    <row r="206" spans="1:5" x14ac:dyDescent="0.25">
      <c r="A206" s="70"/>
    </row>
    <row r="207" spans="1:5" x14ac:dyDescent="0.25">
      <c r="A207" s="70"/>
    </row>
    <row r="208" spans="1:5" x14ac:dyDescent="0.25">
      <c r="A208" s="70"/>
    </row>
    <row r="209" spans="1:1" x14ac:dyDescent="0.25">
      <c r="A209" s="70"/>
    </row>
    <row r="210" spans="1:1" x14ac:dyDescent="0.25">
      <c r="A210" s="70"/>
    </row>
    <row r="211" spans="1:1" x14ac:dyDescent="0.25">
      <c r="A211" s="70"/>
    </row>
    <row r="212" spans="1:1" x14ac:dyDescent="0.25">
      <c r="A212" s="70"/>
    </row>
  </sheetData>
  <mergeCells count="2">
    <mergeCell ref="A2:F2"/>
    <mergeCell ref="B131:B132"/>
  </mergeCells>
  <pageMargins left="0.7" right="0.7" top="0.75" bottom="0.75" header="0.3" footer="0.3"/>
  <pageSetup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P225"/>
  <sheetViews>
    <sheetView zoomScale="90" zoomScaleNormal="90" workbookViewId="0">
      <pane ySplit="2" topLeftCell="A48" activePane="bottomLeft" state="frozen"/>
      <selection activeCell="A84" sqref="A84"/>
      <selection pane="bottomLeft" sqref="A1:XFD1048576"/>
    </sheetView>
  </sheetViews>
  <sheetFormatPr baseColWidth="10" defaultColWidth="11.42578125" defaultRowHeight="15" x14ac:dyDescent="0.25"/>
  <cols>
    <col min="1" max="1" width="14.85546875" customWidth="1"/>
    <col min="2" max="2" width="17.5703125" customWidth="1"/>
    <col min="7" max="7" width="10.85546875" customWidth="1"/>
    <col min="16" max="16" width="38" customWidth="1"/>
    <col min="17" max="17" width="16.7109375" customWidth="1"/>
  </cols>
  <sheetData>
    <row r="1" spans="1:16" ht="18.75" customHeight="1" x14ac:dyDescent="0.25">
      <c r="A1" s="192" t="s">
        <v>345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4"/>
    </row>
    <row r="2" spans="1:16" ht="17.25" customHeight="1" x14ac:dyDescent="0.25">
      <c r="A2" s="195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7"/>
    </row>
    <row r="3" spans="1:16" ht="15.75" x14ac:dyDescent="0.25">
      <c r="A3" s="64" t="s">
        <v>3</v>
      </c>
      <c r="B3" s="64" t="s">
        <v>346</v>
      </c>
      <c r="C3" s="64" t="s">
        <v>347</v>
      </c>
      <c r="D3" s="64" t="s">
        <v>348</v>
      </c>
      <c r="E3" s="64" t="s">
        <v>349</v>
      </c>
      <c r="F3" s="64" t="s">
        <v>350</v>
      </c>
      <c r="G3" s="64" t="s">
        <v>351</v>
      </c>
      <c r="H3" s="64" t="s">
        <v>352</v>
      </c>
      <c r="I3" s="64" t="s">
        <v>353</v>
      </c>
      <c r="J3" s="64" t="s">
        <v>354</v>
      </c>
      <c r="K3" s="64" t="s">
        <v>351</v>
      </c>
      <c r="L3" s="64" t="s">
        <v>355</v>
      </c>
      <c r="M3" s="64" t="s">
        <v>356</v>
      </c>
      <c r="N3" s="64" t="s">
        <v>357</v>
      </c>
      <c r="O3" s="64" t="s">
        <v>358</v>
      </c>
      <c r="P3" s="64" t="s">
        <v>359</v>
      </c>
    </row>
    <row r="4" spans="1:16" ht="15.75" x14ac:dyDescent="0.25">
      <c r="A4" s="75">
        <v>44243</v>
      </c>
      <c r="B4" s="82" t="s">
        <v>297</v>
      </c>
      <c r="C4" s="79">
        <v>2.8000000000000114</v>
      </c>
      <c r="D4" s="65">
        <f t="shared" ref="D4:D19" si="0">+(200/(100-C4))</f>
        <v>2.0576131687242802</v>
      </c>
      <c r="E4" s="68">
        <v>20</v>
      </c>
      <c r="F4" s="68">
        <v>75.7</v>
      </c>
      <c r="G4" s="66">
        <f t="shared" ref="G4:G19" si="1">+((F4-60)*0.2+(E4))</f>
        <v>23.14</v>
      </c>
      <c r="H4" s="66">
        <f t="shared" ref="H4:H19" si="2">+(G4*D4)</f>
        <v>47.613168724279845</v>
      </c>
      <c r="I4" s="67">
        <v>5</v>
      </c>
      <c r="J4" s="68">
        <v>75.400000000000006</v>
      </c>
      <c r="K4" s="66">
        <f t="shared" ref="K4:K19" si="3">+((J4-60)*0.2+(I4))</f>
        <v>8.0800000000000018</v>
      </c>
      <c r="L4" s="67">
        <f t="shared" ref="L4:L19" si="4">+(M4+N4+O4)</f>
        <v>100</v>
      </c>
      <c r="M4" s="66">
        <f t="shared" ref="M4:M19" si="5">+(K4*D4)</f>
        <v>16.62551440329219</v>
      </c>
      <c r="N4" s="66">
        <f t="shared" ref="N4:N19" si="6">+(H4-M4)</f>
        <v>30.987654320987655</v>
      </c>
      <c r="O4" s="66">
        <f t="shared" ref="O4:O19" si="7">+(100-H4)</f>
        <v>52.386831275720155</v>
      </c>
      <c r="P4" s="68" t="s">
        <v>360</v>
      </c>
    </row>
    <row r="5" spans="1:16" ht="15.75" x14ac:dyDescent="0.25">
      <c r="A5" s="75">
        <v>44243</v>
      </c>
      <c r="B5" s="82" t="s">
        <v>298</v>
      </c>
      <c r="C5" s="79">
        <v>1.7999999999999972</v>
      </c>
      <c r="D5" s="65">
        <f t="shared" si="0"/>
        <v>2.0366598778004072</v>
      </c>
      <c r="E5" s="68">
        <v>22</v>
      </c>
      <c r="F5" s="68">
        <v>75.3</v>
      </c>
      <c r="G5" s="66">
        <f t="shared" si="1"/>
        <v>25.06</v>
      </c>
      <c r="H5" s="66">
        <f t="shared" si="2"/>
        <v>51.038696537678206</v>
      </c>
      <c r="I5" s="67">
        <v>3</v>
      </c>
      <c r="J5" s="68">
        <v>75.099999999999994</v>
      </c>
      <c r="K5" s="66">
        <f t="shared" si="3"/>
        <v>6.02</v>
      </c>
      <c r="L5" s="67">
        <f t="shared" si="4"/>
        <v>100</v>
      </c>
      <c r="M5" s="66">
        <f t="shared" si="5"/>
        <v>12.260692464358451</v>
      </c>
      <c r="N5" s="66">
        <f t="shared" si="6"/>
        <v>38.778004073319757</v>
      </c>
      <c r="O5" s="66">
        <f t="shared" si="7"/>
        <v>48.961303462321794</v>
      </c>
      <c r="P5" s="68" t="s">
        <v>361</v>
      </c>
    </row>
    <row r="6" spans="1:16" ht="15.75" x14ac:dyDescent="0.25">
      <c r="A6" s="75">
        <v>44243</v>
      </c>
      <c r="B6" s="82" t="s">
        <v>299</v>
      </c>
      <c r="C6" s="79">
        <v>2.5999999999999801</v>
      </c>
      <c r="D6" s="65">
        <f t="shared" si="0"/>
        <v>2.0533880903490758</v>
      </c>
      <c r="E6" s="68">
        <v>29</v>
      </c>
      <c r="F6" s="68">
        <v>75.400000000000006</v>
      </c>
      <c r="G6" s="66">
        <f t="shared" si="1"/>
        <v>32.08</v>
      </c>
      <c r="H6" s="66">
        <f t="shared" si="2"/>
        <v>65.872689938398352</v>
      </c>
      <c r="I6" s="67">
        <v>5</v>
      </c>
      <c r="J6" s="68">
        <v>75</v>
      </c>
      <c r="K6" s="66">
        <f t="shared" si="3"/>
        <v>8</v>
      </c>
      <c r="L6" s="67">
        <f t="shared" si="4"/>
        <v>100</v>
      </c>
      <c r="M6" s="66">
        <f t="shared" si="5"/>
        <v>16.427104722792606</v>
      </c>
      <c r="N6" s="66">
        <f t="shared" si="6"/>
        <v>49.445585215605746</v>
      </c>
      <c r="O6" s="66">
        <f t="shared" si="7"/>
        <v>34.127310061601648</v>
      </c>
      <c r="P6" s="68" t="s">
        <v>361</v>
      </c>
    </row>
    <row r="7" spans="1:16" ht="15.75" x14ac:dyDescent="0.25">
      <c r="A7" s="75">
        <v>44243</v>
      </c>
      <c r="B7" s="82" t="s">
        <v>300</v>
      </c>
      <c r="C7" s="79">
        <v>2.0000000000000284</v>
      </c>
      <c r="D7" s="65">
        <f t="shared" si="0"/>
        <v>2.0408163265306127</v>
      </c>
      <c r="E7" s="68">
        <v>21</v>
      </c>
      <c r="F7" s="68">
        <v>74.3</v>
      </c>
      <c r="G7" s="66">
        <f t="shared" si="1"/>
        <v>23.86</v>
      </c>
      <c r="H7" s="66">
        <f t="shared" si="2"/>
        <v>48.693877551020421</v>
      </c>
      <c r="I7" s="67">
        <v>3</v>
      </c>
      <c r="J7" s="68">
        <v>74.8</v>
      </c>
      <c r="K7" s="66">
        <f t="shared" si="3"/>
        <v>5.9599999999999991</v>
      </c>
      <c r="L7" s="67">
        <f t="shared" si="4"/>
        <v>100</v>
      </c>
      <c r="M7" s="66">
        <f t="shared" si="5"/>
        <v>12.163265306122449</v>
      </c>
      <c r="N7" s="66">
        <f t="shared" si="6"/>
        <v>36.530612244897974</v>
      </c>
      <c r="O7" s="66">
        <f t="shared" si="7"/>
        <v>51.306122448979579</v>
      </c>
      <c r="P7" s="68" t="s">
        <v>361</v>
      </c>
    </row>
    <row r="8" spans="1:16" ht="15.75" x14ac:dyDescent="0.25">
      <c r="A8" s="75">
        <v>44243</v>
      </c>
      <c r="B8" s="82" t="s">
        <v>301</v>
      </c>
      <c r="C8" s="79">
        <v>1.1999999999999744</v>
      </c>
      <c r="D8" s="65">
        <f t="shared" si="0"/>
        <v>2.0242914979757081</v>
      </c>
      <c r="E8" s="68">
        <v>15</v>
      </c>
      <c r="F8" s="68">
        <v>74.2</v>
      </c>
      <c r="G8" s="66">
        <f t="shared" si="1"/>
        <v>17.84</v>
      </c>
      <c r="H8" s="66">
        <f t="shared" si="2"/>
        <v>36.113360323886631</v>
      </c>
      <c r="I8" s="67">
        <v>2</v>
      </c>
      <c r="J8" s="68">
        <v>74.900000000000006</v>
      </c>
      <c r="K8" s="66">
        <f t="shared" si="3"/>
        <v>4.9800000000000013</v>
      </c>
      <c r="L8" s="67">
        <f t="shared" si="4"/>
        <v>100</v>
      </c>
      <c r="M8" s="66">
        <f t="shared" si="5"/>
        <v>10.08097165991903</v>
      </c>
      <c r="N8" s="66">
        <f t="shared" si="6"/>
        <v>26.032388663967602</v>
      </c>
      <c r="O8" s="66">
        <f t="shared" si="7"/>
        <v>63.886639676113369</v>
      </c>
      <c r="P8" s="68" t="s">
        <v>360</v>
      </c>
    </row>
    <row r="9" spans="1:16" ht="15.75" x14ac:dyDescent="0.25">
      <c r="A9" s="75">
        <v>44243</v>
      </c>
      <c r="B9" s="82" t="s">
        <v>302</v>
      </c>
      <c r="C9" s="79">
        <v>2.1999999999999886</v>
      </c>
      <c r="D9" s="65">
        <f t="shared" si="0"/>
        <v>2.0449897750511243</v>
      </c>
      <c r="E9" s="68">
        <v>21</v>
      </c>
      <c r="F9" s="68">
        <v>74.3</v>
      </c>
      <c r="G9" s="66">
        <f t="shared" si="1"/>
        <v>23.86</v>
      </c>
      <c r="H9" s="66">
        <f t="shared" si="2"/>
        <v>48.793456032719824</v>
      </c>
      <c r="I9" s="67">
        <v>3</v>
      </c>
      <c r="J9" s="68">
        <v>74.8</v>
      </c>
      <c r="K9" s="66">
        <f t="shared" si="3"/>
        <v>5.9599999999999991</v>
      </c>
      <c r="L9" s="67">
        <f t="shared" si="4"/>
        <v>100</v>
      </c>
      <c r="M9" s="66">
        <f t="shared" si="5"/>
        <v>12.188139059304699</v>
      </c>
      <c r="N9" s="66">
        <f t="shared" si="6"/>
        <v>36.605316973415128</v>
      </c>
      <c r="O9" s="66">
        <f t="shared" si="7"/>
        <v>51.206543967280176</v>
      </c>
      <c r="P9" s="68" t="s">
        <v>362</v>
      </c>
    </row>
    <row r="10" spans="1:16" ht="15.75" x14ac:dyDescent="0.25">
      <c r="A10" s="75">
        <v>44243</v>
      </c>
      <c r="B10" s="82" t="s">
        <v>303</v>
      </c>
      <c r="C10" s="79">
        <v>1.7999999999999972</v>
      </c>
      <c r="D10" s="65">
        <f t="shared" si="0"/>
        <v>2.0366598778004072</v>
      </c>
      <c r="E10" s="68">
        <v>23</v>
      </c>
      <c r="F10" s="68">
        <v>75.400000000000006</v>
      </c>
      <c r="G10" s="66">
        <f t="shared" si="1"/>
        <v>26.080000000000002</v>
      </c>
      <c r="H10" s="66">
        <f t="shared" si="2"/>
        <v>53.116089613034625</v>
      </c>
      <c r="I10" s="67">
        <v>4</v>
      </c>
      <c r="J10" s="68">
        <v>75.400000000000006</v>
      </c>
      <c r="K10" s="66">
        <f t="shared" si="3"/>
        <v>7.0800000000000018</v>
      </c>
      <c r="L10" s="67">
        <f t="shared" si="4"/>
        <v>100</v>
      </c>
      <c r="M10" s="66">
        <f t="shared" si="5"/>
        <v>14.419551934826886</v>
      </c>
      <c r="N10" s="66">
        <f t="shared" si="6"/>
        <v>38.69653767820774</v>
      </c>
      <c r="O10" s="66">
        <f t="shared" si="7"/>
        <v>46.883910386965375</v>
      </c>
      <c r="P10" s="68" t="s">
        <v>362</v>
      </c>
    </row>
    <row r="11" spans="1:16" ht="15.75" x14ac:dyDescent="0.25">
      <c r="A11" s="75">
        <v>44243</v>
      </c>
      <c r="B11" s="82" t="s">
        <v>304</v>
      </c>
      <c r="C11" s="79">
        <v>2.5999999999999801</v>
      </c>
      <c r="D11" s="65">
        <f t="shared" si="0"/>
        <v>2.0533880903490758</v>
      </c>
      <c r="E11" s="68">
        <v>28</v>
      </c>
      <c r="F11" s="68">
        <v>74.900000000000006</v>
      </c>
      <c r="G11" s="66">
        <f t="shared" si="1"/>
        <v>30.98</v>
      </c>
      <c r="H11" s="66">
        <f t="shared" si="2"/>
        <v>63.613963039014365</v>
      </c>
      <c r="I11" s="67">
        <v>2</v>
      </c>
      <c r="J11" s="68">
        <v>75.7</v>
      </c>
      <c r="K11" s="66">
        <f t="shared" si="3"/>
        <v>5.1400000000000006</v>
      </c>
      <c r="L11" s="67">
        <f t="shared" si="4"/>
        <v>100</v>
      </c>
      <c r="M11" s="66">
        <f t="shared" si="5"/>
        <v>10.55441478439425</v>
      </c>
      <c r="N11" s="66">
        <f t="shared" si="6"/>
        <v>53.059548254620111</v>
      </c>
      <c r="O11" s="66">
        <f t="shared" si="7"/>
        <v>36.386036960985635</v>
      </c>
      <c r="P11" s="68" t="s">
        <v>363</v>
      </c>
    </row>
    <row r="12" spans="1:16" ht="15.75" x14ac:dyDescent="0.25">
      <c r="A12" s="75">
        <v>44243</v>
      </c>
      <c r="B12" s="82" t="s">
        <v>305</v>
      </c>
      <c r="C12" s="79">
        <v>2.8000000000000114</v>
      </c>
      <c r="D12" s="65">
        <f t="shared" si="0"/>
        <v>2.0576131687242802</v>
      </c>
      <c r="E12" s="68">
        <v>30</v>
      </c>
      <c r="F12" s="68">
        <v>75.3</v>
      </c>
      <c r="G12" s="66">
        <f t="shared" si="1"/>
        <v>33.06</v>
      </c>
      <c r="H12" s="66">
        <f t="shared" si="2"/>
        <v>68.024691358024711</v>
      </c>
      <c r="I12" s="67">
        <v>7</v>
      </c>
      <c r="J12" s="68">
        <v>76</v>
      </c>
      <c r="K12" s="66">
        <f t="shared" si="3"/>
        <v>10.199999999999999</v>
      </c>
      <c r="L12" s="67">
        <f t="shared" si="4"/>
        <v>100</v>
      </c>
      <c r="M12" s="66">
        <f t="shared" si="5"/>
        <v>20.987654320987659</v>
      </c>
      <c r="N12" s="66">
        <f t="shared" si="6"/>
        <v>47.037037037037052</v>
      </c>
      <c r="O12" s="66">
        <f t="shared" si="7"/>
        <v>31.975308641975289</v>
      </c>
      <c r="P12" s="68" t="s">
        <v>362</v>
      </c>
    </row>
    <row r="13" spans="1:16" ht="15.75" x14ac:dyDescent="0.25">
      <c r="A13" s="75">
        <v>44243</v>
      </c>
      <c r="B13" s="82" t="s">
        <v>306</v>
      </c>
      <c r="C13" s="79">
        <v>3.2000000000000028</v>
      </c>
      <c r="D13" s="65">
        <f t="shared" si="0"/>
        <v>2.0661157024793391</v>
      </c>
      <c r="E13" s="68">
        <v>25</v>
      </c>
      <c r="F13" s="68">
        <v>74.400000000000006</v>
      </c>
      <c r="G13" s="66">
        <f t="shared" si="1"/>
        <v>27.880000000000003</v>
      </c>
      <c r="H13" s="66">
        <f t="shared" si="2"/>
        <v>57.603305785123979</v>
      </c>
      <c r="I13" s="67">
        <v>6</v>
      </c>
      <c r="J13" s="68">
        <v>75.8</v>
      </c>
      <c r="K13" s="66">
        <f t="shared" si="3"/>
        <v>9.16</v>
      </c>
      <c r="L13" s="67">
        <f t="shared" si="4"/>
        <v>100</v>
      </c>
      <c r="M13" s="66">
        <f t="shared" si="5"/>
        <v>18.925619834710748</v>
      </c>
      <c r="N13" s="66">
        <f t="shared" si="6"/>
        <v>38.677685950413235</v>
      </c>
      <c r="O13" s="66">
        <f t="shared" si="7"/>
        <v>42.396694214876021</v>
      </c>
      <c r="P13" s="68" t="s">
        <v>362</v>
      </c>
    </row>
    <row r="14" spans="1:16" ht="15.75" x14ac:dyDescent="0.25">
      <c r="A14" s="75">
        <v>44243</v>
      </c>
      <c r="B14" s="82" t="s">
        <v>307</v>
      </c>
      <c r="C14" s="79">
        <v>1.6000000000000369</v>
      </c>
      <c r="D14" s="65">
        <f t="shared" si="0"/>
        <v>2.0325203252032527</v>
      </c>
      <c r="E14" s="68">
        <v>11</v>
      </c>
      <c r="F14" s="68">
        <v>74.3</v>
      </c>
      <c r="G14" s="66">
        <f t="shared" si="1"/>
        <v>13.86</v>
      </c>
      <c r="H14" s="66">
        <f t="shared" si="2"/>
        <v>28.170731707317081</v>
      </c>
      <c r="I14" s="67">
        <v>1</v>
      </c>
      <c r="J14" s="68">
        <v>75.900000000000006</v>
      </c>
      <c r="K14" s="66">
        <f t="shared" si="3"/>
        <v>4.1800000000000015</v>
      </c>
      <c r="L14" s="67">
        <f t="shared" si="4"/>
        <v>100</v>
      </c>
      <c r="M14" s="66">
        <f t="shared" si="5"/>
        <v>8.495934959349599</v>
      </c>
      <c r="N14" s="66">
        <f t="shared" si="6"/>
        <v>19.674796747967484</v>
      </c>
      <c r="O14" s="66">
        <f t="shared" si="7"/>
        <v>71.829268292682912</v>
      </c>
      <c r="P14" s="68" t="s">
        <v>360</v>
      </c>
    </row>
    <row r="15" spans="1:16" ht="15.75" x14ac:dyDescent="0.25">
      <c r="A15" s="75">
        <v>44243</v>
      </c>
      <c r="B15" s="82" t="s">
        <v>308</v>
      </c>
      <c r="C15" s="79">
        <v>1.5999999999999659</v>
      </c>
      <c r="D15" s="65">
        <f t="shared" si="0"/>
        <v>2.0325203252032513</v>
      </c>
      <c r="E15" s="68">
        <v>8</v>
      </c>
      <c r="F15" s="68">
        <v>74.400000000000006</v>
      </c>
      <c r="G15" s="66">
        <f t="shared" si="1"/>
        <v>10.88</v>
      </c>
      <c r="H15" s="66">
        <f t="shared" si="2"/>
        <v>22.113821138211375</v>
      </c>
      <c r="I15" s="67">
        <v>0</v>
      </c>
      <c r="J15" s="68">
        <v>76.099999999999994</v>
      </c>
      <c r="K15" s="66">
        <f t="shared" si="3"/>
        <v>3.2199999999999989</v>
      </c>
      <c r="L15" s="67">
        <f t="shared" si="4"/>
        <v>100</v>
      </c>
      <c r="M15" s="66">
        <f t="shared" si="5"/>
        <v>6.5447154471544673</v>
      </c>
      <c r="N15" s="66">
        <f t="shared" si="6"/>
        <v>15.569105691056908</v>
      </c>
      <c r="O15" s="66">
        <f t="shared" si="7"/>
        <v>77.886178861788622</v>
      </c>
      <c r="P15" s="68" t="s">
        <v>364</v>
      </c>
    </row>
    <row r="16" spans="1:16" ht="15.75" x14ac:dyDescent="0.25">
      <c r="A16" s="75">
        <v>44243</v>
      </c>
      <c r="B16" s="82" t="s">
        <v>309</v>
      </c>
      <c r="C16" s="79">
        <v>1.7999999999999972</v>
      </c>
      <c r="D16" s="65">
        <f t="shared" si="0"/>
        <v>2.0366598778004072</v>
      </c>
      <c r="E16" s="68">
        <v>15</v>
      </c>
      <c r="F16" s="68">
        <v>75.3</v>
      </c>
      <c r="G16" s="66">
        <f t="shared" si="1"/>
        <v>18.059999999999999</v>
      </c>
      <c r="H16" s="66">
        <f t="shared" si="2"/>
        <v>36.782077393075355</v>
      </c>
      <c r="I16" s="67">
        <v>2</v>
      </c>
      <c r="J16" s="68">
        <v>76.7</v>
      </c>
      <c r="K16" s="66">
        <f t="shared" si="3"/>
        <v>5.3400000000000007</v>
      </c>
      <c r="L16" s="67">
        <f t="shared" si="4"/>
        <v>100</v>
      </c>
      <c r="M16" s="66">
        <f t="shared" si="5"/>
        <v>10.875763747454176</v>
      </c>
      <c r="N16" s="66">
        <f t="shared" si="6"/>
        <v>25.906313645621179</v>
      </c>
      <c r="O16" s="66">
        <f t="shared" si="7"/>
        <v>63.217922606924645</v>
      </c>
      <c r="P16" s="68" t="s">
        <v>360</v>
      </c>
    </row>
    <row r="17" spans="1:16" ht="15.75" x14ac:dyDescent="0.25">
      <c r="A17" s="75">
        <v>44243</v>
      </c>
      <c r="B17" s="82" t="s">
        <v>310</v>
      </c>
      <c r="C17" s="79">
        <v>2.5999999999999801</v>
      </c>
      <c r="D17" s="65">
        <f t="shared" si="0"/>
        <v>2.0533880903490758</v>
      </c>
      <c r="E17" s="68">
        <v>22</v>
      </c>
      <c r="F17" s="68">
        <v>75</v>
      </c>
      <c r="G17" s="66">
        <f t="shared" si="1"/>
        <v>25</v>
      </c>
      <c r="H17" s="66">
        <f t="shared" si="2"/>
        <v>51.334702258726892</v>
      </c>
      <c r="I17" s="67">
        <v>5</v>
      </c>
      <c r="J17" s="68">
        <v>76.5</v>
      </c>
      <c r="K17" s="66">
        <f t="shared" si="3"/>
        <v>8.3000000000000007</v>
      </c>
      <c r="L17" s="67">
        <f t="shared" si="4"/>
        <v>100</v>
      </c>
      <c r="M17" s="66">
        <f t="shared" si="5"/>
        <v>17.043121149897331</v>
      </c>
      <c r="N17" s="66">
        <f t="shared" si="6"/>
        <v>34.291581108829561</v>
      </c>
      <c r="O17" s="66">
        <f t="shared" si="7"/>
        <v>48.665297741273108</v>
      </c>
      <c r="P17" s="68" t="s">
        <v>362</v>
      </c>
    </row>
    <row r="18" spans="1:16" ht="15.75" x14ac:dyDescent="0.25">
      <c r="A18" s="75">
        <v>44243</v>
      </c>
      <c r="B18" s="82" t="s">
        <v>311</v>
      </c>
      <c r="C18" s="79">
        <v>1.9999999999999574</v>
      </c>
      <c r="D18" s="65">
        <f t="shared" si="0"/>
        <v>2.0408163265306114</v>
      </c>
      <c r="E18" s="68">
        <v>15</v>
      </c>
      <c r="F18" s="68">
        <v>75.3</v>
      </c>
      <c r="G18" s="66">
        <f t="shared" si="1"/>
        <v>18.059999999999999</v>
      </c>
      <c r="H18" s="66">
        <f t="shared" si="2"/>
        <v>36.85714285714284</v>
      </c>
      <c r="I18" s="67">
        <v>4</v>
      </c>
      <c r="J18" s="68">
        <v>76.7</v>
      </c>
      <c r="K18" s="66">
        <f t="shared" si="3"/>
        <v>7.3400000000000007</v>
      </c>
      <c r="L18" s="67">
        <f t="shared" si="4"/>
        <v>100</v>
      </c>
      <c r="M18" s="66">
        <f t="shared" si="5"/>
        <v>14.97959183673469</v>
      </c>
      <c r="N18" s="66">
        <f t="shared" si="6"/>
        <v>21.877551020408148</v>
      </c>
      <c r="O18" s="66">
        <f t="shared" si="7"/>
        <v>63.14285714285716</v>
      </c>
      <c r="P18" s="68" t="s">
        <v>360</v>
      </c>
    </row>
    <row r="19" spans="1:16" ht="15.75" x14ac:dyDescent="0.25">
      <c r="A19" s="75">
        <v>44243</v>
      </c>
      <c r="B19" s="82" t="s">
        <v>312</v>
      </c>
      <c r="C19" s="79">
        <v>2.4000000000000199</v>
      </c>
      <c r="D19" s="65">
        <f t="shared" si="0"/>
        <v>2.0491803278688527</v>
      </c>
      <c r="E19" s="68">
        <v>22</v>
      </c>
      <c r="F19" s="68">
        <v>74.5</v>
      </c>
      <c r="G19" s="66">
        <f t="shared" si="1"/>
        <v>24.9</v>
      </c>
      <c r="H19" s="66">
        <f t="shared" si="2"/>
        <v>51.024590163934427</v>
      </c>
      <c r="I19" s="67">
        <v>6</v>
      </c>
      <c r="J19" s="68">
        <v>76.400000000000006</v>
      </c>
      <c r="K19" s="66">
        <f t="shared" si="3"/>
        <v>9.2800000000000011</v>
      </c>
      <c r="L19" s="67">
        <f t="shared" si="4"/>
        <v>100</v>
      </c>
      <c r="M19" s="66">
        <f t="shared" si="5"/>
        <v>19.016393442622956</v>
      </c>
      <c r="N19" s="66">
        <f t="shared" si="6"/>
        <v>32.008196721311471</v>
      </c>
      <c r="O19" s="66">
        <f t="shared" si="7"/>
        <v>48.975409836065573</v>
      </c>
      <c r="P19" s="68" t="s">
        <v>362</v>
      </c>
    </row>
    <row r="20" spans="1:16" ht="15.75" x14ac:dyDescent="0.25">
      <c r="A20" s="75">
        <v>44243</v>
      </c>
      <c r="B20" s="82" t="s">
        <v>313</v>
      </c>
      <c r="C20" s="79">
        <v>2.8000000000000114</v>
      </c>
      <c r="D20" s="65">
        <f t="shared" ref="D20:D48" si="8">+(200/(100-C20))</f>
        <v>2.0576131687242802</v>
      </c>
      <c r="E20" s="68">
        <v>20</v>
      </c>
      <c r="F20" s="68">
        <v>74.400000000000006</v>
      </c>
      <c r="G20" s="66">
        <f t="shared" ref="G20:G48" si="9">+((F20-60)*0.2+(E20))</f>
        <v>22.880000000000003</v>
      </c>
      <c r="H20" s="66">
        <f t="shared" ref="H20:H48" si="10">+(G20*D20)</f>
        <v>47.078189300411537</v>
      </c>
      <c r="I20" s="67">
        <v>3</v>
      </c>
      <c r="J20" s="68">
        <v>76.599999999999994</v>
      </c>
      <c r="K20" s="66">
        <f t="shared" ref="K20:K48" si="11">+((J20-60)*0.2+(I20))</f>
        <v>6.3199999999999985</v>
      </c>
      <c r="L20" s="67">
        <f t="shared" ref="L20:L48" si="12">+(M20+N20+O20)</f>
        <v>100</v>
      </c>
      <c r="M20" s="66">
        <f t="shared" ref="M20:M48" si="13">+(K20*D20)</f>
        <v>13.004115226337449</v>
      </c>
      <c r="N20" s="66">
        <f t="shared" ref="N20:N48" si="14">+(H20-M20)</f>
        <v>34.07407407407409</v>
      </c>
      <c r="O20" s="66">
        <f t="shared" ref="O20:O48" si="15">+(100-H20)</f>
        <v>52.921810699588463</v>
      </c>
      <c r="P20" s="68" t="s">
        <v>360</v>
      </c>
    </row>
    <row r="21" spans="1:16" ht="15.75" x14ac:dyDescent="0.25">
      <c r="A21" s="75">
        <v>44243</v>
      </c>
      <c r="B21" s="82" t="s">
        <v>314</v>
      </c>
      <c r="C21" s="79">
        <v>1.9999999999999574</v>
      </c>
      <c r="D21" s="65">
        <f t="shared" si="8"/>
        <v>2.0408163265306114</v>
      </c>
      <c r="E21" s="68">
        <v>11</v>
      </c>
      <c r="F21" s="68">
        <v>74.400000000000006</v>
      </c>
      <c r="G21" s="66">
        <f t="shared" si="9"/>
        <v>13.88</v>
      </c>
      <c r="H21" s="66">
        <f t="shared" si="10"/>
        <v>28.326530612244888</v>
      </c>
      <c r="I21" s="67">
        <v>0</v>
      </c>
      <c r="J21" s="68">
        <v>76.599999999999994</v>
      </c>
      <c r="K21" s="66">
        <f t="shared" si="11"/>
        <v>3.319999999999999</v>
      </c>
      <c r="L21" s="67">
        <f t="shared" si="12"/>
        <v>100</v>
      </c>
      <c r="M21" s="66">
        <f t="shared" si="13"/>
        <v>6.7755102040816277</v>
      </c>
      <c r="N21" s="66">
        <f t="shared" si="14"/>
        <v>21.551020408163261</v>
      </c>
      <c r="O21" s="66">
        <f t="shared" si="15"/>
        <v>71.673469387755119</v>
      </c>
      <c r="P21" s="68" t="s">
        <v>360</v>
      </c>
    </row>
    <row r="22" spans="1:16" ht="15.75" x14ac:dyDescent="0.25">
      <c r="A22" s="75">
        <v>44243</v>
      </c>
      <c r="B22" s="82" t="s">
        <v>315</v>
      </c>
      <c r="C22" s="79">
        <v>2.6000000000000512</v>
      </c>
      <c r="D22" s="65">
        <f t="shared" si="8"/>
        <v>2.0533880903490771</v>
      </c>
      <c r="E22" s="68">
        <v>16</v>
      </c>
      <c r="F22" s="68">
        <v>75.5</v>
      </c>
      <c r="G22" s="66">
        <f t="shared" si="9"/>
        <v>19.100000000000001</v>
      </c>
      <c r="H22" s="66">
        <f t="shared" si="10"/>
        <v>39.219712525667376</v>
      </c>
      <c r="I22" s="67">
        <v>1</v>
      </c>
      <c r="J22" s="68">
        <v>77.2</v>
      </c>
      <c r="K22" s="66">
        <f t="shared" si="11"/>
        <v>4.4400000000000013</v>
      </c>
      <c r="L22" s="67">
        <f t="shared" si="12"/>
        <v>100</v>
      </c>
      <c r="M22" s="66">
        <f t="shared" si="13"/>
        <v>9.117043121149905</v>
      </c>
      <c r="N22" s="66">
        <f t="shared" si="14"/>
        <v>30.102669404517471</v>
      </c>
      <c r="O22" s="66">
        <f t="shared" si="15"/>
        <v>60.780287474332624</v>
      </c>
      <c r="P22" s="68" t="s">
        <v>360</v>
      </c>
    </row>
    <row r="23" spans="1:16" ht="15.75" x14ac:dyDescent="0.25">
      <c r="A23" s="75">
        <v>44243</v>
      </c>
      <c r="B23" s="78" t="s">
        <v>16</v>
      </c>
      <c r="C23" s="79">
        <v>2.8000000000000114</v>
      </c>
      <c r="D23" s="65">
        <f t="shared" si="8"/>
        <v>2.0576131687242802</v>
      </c>
      <c r="E23" s="68">
        <v>26</v>
      </c>
      <c r="F23" s="68">
        <v>74.900000000000006</v>
      </c>
      <c r="G23" s="66">
        <f t="shared" si="9"/>
        <v>28.98</v>
      </c>
      <c r="H23" s="66">
        <f t="shared" si="10"/>
        <v>59.62962962962964</v>
      </c>
      <c r="I23" s="67">
        <v>6</v>
      </c>
      <c r="J23" s="68">
        <v>77</v>
      </c>
      <c r="K23" s="66">
        <f t="shared" si="11"/>
        <v>9.4</v>
      </c>
      <c r="L23" s="67">
        <f t="shared" si="12"/>
        <v>100</v>
      </c>
      <c r="M23" s="66">
        <f t="shared" si="13"/>
        <v>19.341563786008233</v>
      </c>
      <c r="N23" s="66">
        <f t="shared" si="14"/>
        <v>40.288065843621411</v>
      </c>
      <c r="O23" s="66">
        <f t="shared" si="15"/>
        <v>40.37037037037036</v>
      </c>
      <c r="P23" s="81" t="s">
        <v>362</v>
      </c>
    </row>
    <row r="24" spans="1:16" ht="15.75" x14ac:dyDescent="0.25">
      <c r="A24" s="64" t="s">
        <v>3</v>
      </c>
      <c r="B24" s="64" t="s">
        <v>346</v>
      </c>
      <c r="C24" s="64" t="s">
        <v>347</v>
      </c>
      <c r="D24" s="64" t="s">
        <v>348</v>
      </c>
      <c r="E24" s="64" t="s">
        <v>349</v>
      </c>
      <c r="F24" s="64" t="s">
        <v>350</v>
      </c>
      <c r="G24" s="64" t="s">
        <v>351</v>
      </c>
      <c r="H24" s="64" t="s">
        <v>352</v>
      </c>
      <c r="I24" s="64" t="s">
        <v>353</v>
      </c>
      <c r="J24" s="64" t="s">
        <v>354</v>
      </c>
      <c r="K24" s="64" t="s">
        <v>351</v>
      </c>
      <c r="L24" s="64" t="s">
        <v>355</v>
      </c>
      <c r="M24" s="64" t="s">
        <v>356</v>
      </c>
      <c r="N24" s="64" t="s">
        <v>357</v>
      </c>
      <c r="O24" s="64" t="s">
        <v>358</v>
      </c>
      <c r="P24" s="64" t="s">
        <v>359</v>
      </c>
    </row>
    <row r="25" spans="1:16" ht="15.75" x14ac:dyDescent="0.25">
      <c r="A25" s="75">
        <v>44259</v>
      </c>
      <c r="B25" s="82" t="s">
        <v>316</v>
      </c>
      <c r="C25" s="79">
        <v>1.6000000000000369</v>
      </c>
      <c r="D25" s="65">
        <f t="shared" si="8"/>
        <v>2.0325203252032527</v>
      </c>
      <c r="E25" s="68">
        <v>15</v>
      </c>
      <c r="F25" s="68">
        <v>74</v>
      </c>
      <c r="G25" s="66">
        <f t="shared" si="9"/>
        <v>17.8</v>
      </c>
      <c r="H25" s="66">
        <f t="shared" si="10"/>
        <v>36.178861788617901</v>
      </c>
      <c r="I25" s="67">
        <v>2</v>
      </c>
      <c r="J25" s="68">
        <v>73.5</v>
      </c>
      <c r="K25" s="66">
        <f t="shared" si="11"/>
        <v>4.7</v>
      </c>
      <c r="L25" s="67">
        <f t="shared" si="12"/>
        <v>100</v>
      </c>
      <c r="M25" s="66">
        <f t="shared" si="13"/>
        <v>9.552845528455288</v>
      </c>
      <c r="N25" s="66">
        <f t="shared" si="14"/>
        <v>26.626016260162615</v>
      </c>
      <c r="O25" s="66">
        <f t="shared" si="15"/>
        <v>63.821138211382099</v>
      </c>
      <c r="P25" s="68" t="s">
        <v>360</v>
      </c>
    </row>
    <row r="26" spans="1:16" ht="15.75" x14ac:dyDescent="0.25">
      <c r="A26" s="75">
        <v>44259</v>
      </c>
      <c r="B26" s="82" t="s">
        <v>317</v>
      </c>
      <c r="C26" s="79">
        <v>4.8000000000000398</v>
      </c>
      <c r="D26" s="65">
        <f t="shared" si="8"/>
        <v>2.1008403361344548</v>
      </c>
      <c r="E26" s="68">
        <v>29</v>
      </c>
      <c r="F26" s="68">
        <v>72.900000000000006</v>
      </c>
      <c r="G26" s="66">
        <f t="shared" si="9"/>
        <v>31.580000000000002</v>
      </c>
      <c r="H26" s="66">
        <f t="shared" si="10"/>
        <v>66.344537815126088</v>
      </c>
      <c r="I26" s="67">
        <v>11</v>
      </c>
      <c r="J26" s="68">
        <v>73.2</v>
      </c>
      <c r="K26" s="66">
        <f t="shared" si="11"/>
        <v>13.64</v>
      </c>
      <c r="L26" s="67">
        <f t="shared" si="12"/>
        <v>100</v>
      </c>
      <c r="M26" s="66">
        <f t="shared" si="13"/>
        <v>28.655462184873965</v>
      </c>
      <c r="N26" s="66">
        <f t="shared" si="14"/>
        <v>37.68907563025212</v>
      </c>
      <c r="O26" s="66">
        <f t="shared" si="15"/>
        <v>33.655462184873912</v>
      </c>
      <c r="P26" s="68" t="s">
        <v>365</v>
      </c>
    </row>
    <row r="27" spans="1:16" ht="15.75" x14ac:dyDescent="0.25">
      <c r="A27" s="75">
        <v>44259</v>
      </c>
      <c r="B27" s="82" t="s">
        <v>318</v>
      </c>
      <c r="C27" s="79">
        <v>1.7999999999999972</v>
      </c>
      <c r="D27" s="65">
        <f t="shared" si="8"/>
        <v>2.0366598778004072</v>
      </c>
      <c r="E27" s="68">
        <v>15</v>
      </c>
      <c r="F27" s="68">
        <v>72.900000000000006</v>
      </c>
      <c r="G27" s="66">
        <f t="shared" si="9"/>
        <v>17.580000000000002</v>
      </c>
      <c r="H27" s="66">
        <f t="shared" si="10"/>
        <v>35.804480651731161</v>
      </c>
      <c r="I27" s="67">
        <v>5</v>
      </c>
      <c r="J27" s="68">
        <v>73.2</v>
      </c>
      <c r="K27" s="66">
        <f t="shared" si="11"/>
        <v>7.6400000000000006</v>
      </c>
      <c r="L27" s="67">
        <f t="shared" si="12"/>
        <v>100</v>
      </c>
      <c r="M27" s="66">
        <f t="shared" si="13"/>
        <v>15.560081466395113</v>
      </c>
      <c r="N27" s="66">
        <f t="shared" si="14"/>
        <v>20.24439918533605</v>
      </c>
      <c r="O27" s="66">
        <f t="shared" si="15"/>
        <v>64.195519348268846</v>
      </c>
      <c r="P27" s="68" t="s">
        <v>360</v>
      </c>
    </row>
    <row r="28" spans="1:16" ht="15.75" x14ac:dyDescent="0.25">
      <c r="A28" s="75">
        <v>44259</v>
      </c>
      <c r="B28" s="82" t="s">
        <v>319</v>
      </c>
      <c r="C28" s="79">
        <v>4.6000000000000085</v>
      </c>
      <c r="D28" s="65">
        <f t="shared" si="8"/>
        <v>2.0964360587002098</v>
      </c>
      <c r="E28" s="68">
        <v>28</v>
      </c>
      <c r="F28" s="68">
        <v>72.900000000000006</v>
      </c>
      <c r="G28" s="66">
        <f t="shared" si="9"/>
        <v>30.580000000000002</v>
      </c>
      <c r="H28" s="66">
        <f t="shared" si="10"/>
        <v>64.109014675052421</v>
      </c>
      <c r="I28" s="67">
        <v>11</v>
      </c>
      <c r="J28" s="68">
        <v>73.3</v>
      </c>
      <c r="K28" s="66">
        <f t="shared" si="11"/>
        <v>13.66</v>
      </c>
      <c r="L28" s="67">
        <f t="shared" si="12"/>
        <v>100</v>
      </c>
      <c r="M28" s="66">
        <f t="shared" si="13"/>
        <v>28.637316561844866</v>
      </c>
      <c r="N28" s="66">
        <f t="shared" si="14"/>
        <v>35.471698113207552</v>
      </c>
      <c r="O28" s="66">
        <f t="shared" si="15"/>
        <v>35.890985324947579</v>
      </c>
      <c r="P28" s="68" t="s">
        <v>365</v>
      </c>
    </row>
    <row r="29" spans="1:16" ht="15.75" x14ac:dyDescent="0.25">
      <c r="A29" s="75">
        <v>44259</v>
      </c>
      <c r="B29" s="82" t="s">
        <v>320</v>
      </c>
      <c r="C29" s="79">
        <v>2.6000000000000512</v>
      </c>
      <c r="D29" s="65">
        <f t="shared" si="8"/>
        <v>2.0533880903490771</v>
      </c>
      <c r="E29" s="68">
        <v>17</v>
      </c>
      <c r="F29" s="68">
        <v>73.7</v>
      </c>
      <c r="G29" s="66">
        <f t="shared" si="9"/>
        <v>19.740000000000002</v>
      </c>
      <c r="H29" s="66">
        <f t="shared" si="10"/>
        <v>40.533880903490783</v>
      </c>
      <c r="I29" s="67">
        <v>6</v>
      </c>
      <c r="J29" s="68">
        <v>73.900000000000006</v>
      </c>
      <c r="K29" s="66">
        <f t="shared" si="11"/>
        <v>8.7800000000000011</v>
      </c>
      <c r="L29" s="67">
        <f t="shared" si="12"/>
        <v>100</v>
      </c>
      <c r="M29" s="66">
        <f t="shared" si="13"/>
        <v>18.0287474332649</v>
      </c>
      <c r="N29" s="66">
        <f t="shared" si="14"/>
        <v>22.505133470225882</v>
      </c>
      <c r="O29" s="66">
        <f t="shared" si="15"/>
        <v>59.466119096509217</v>
      </c>
      <c r="P29" s="68" t="s">
        <v>360</v>
      </c>
    </row>
    <row r="30" spans="1:16" ht="15.75" x14ac:dyDescent="0.25">
      <c r="A30" s="75">
        <v>44259</v>
      </c>
      <c r="B30" s="82" t="s">
        <v>321</v>
      </c>
      <c r="C30" s="79">
        <v>4.7999999999999687</v>
      </c>
      <c r="D30" s="65">
        <f t="shared" si="8"/>
        <v>2.100840336134453</v>
      </c>
      <c r="E30" s="68">
        <v>22</v>
      </c>
      <c r="F30" s="68">
        <v>73.3</v>
      </c>
      <c r="G30" s="66">
        <f t="shared" si="9"/>
        <v>24.66</v>
      </c>
      <c r="H30" s="66">
        <f t="shared" si="10"/>
        <v>51.806722689075613</v>
      </c>
      <c r="I30" s="67">
        <v>6</v>
      </c>
      <c r="J30" s="68">
        <v>73.900000000000006</v>
      </c>
      <c r="K30" s="66">
        <f t="shared" si="11"/>
        <v>8.7800000000000011</v>
      </c>
      <c r="L30" s="67">
        <f t="shared" si="12"/>
        <v>100</v>
      </c>
      <c r="M30" s="66">
        <f t="shared" si="13"/>
        <v>18.445378151260499</v>
      </c>
      <c r="N30" s="66">
        <f t="shared" si="14"/>
        <v>33.361344537815114</v>
      </c>
      <c r="O30" s="66">
        <f t="shared" si="15"/>
        <v>48.193277310924387</v>
      </c>
      <c r="P30" s="68" t="s">
        <v>362</v>
      </c>
    </row>
    <row r="31" spans="1:16" ht="15.75" x14ac:dyDescent="0.25">
      <c r="A31" s="75">
        <v>44259</v>
      </c>
      <c r="B31" s="82" t="s">
        <v>322</v>
      </c>
      <c r="C31" s="79">
        <v>2.7999999999999403</v>
      </c>
      <c r="D31" s="65">
        <f t="shared" si="8"/>
        <v>2.0576131687242785</v>
      </c>
      <c r="E31" s="68">
        <v>20</v>
      </c>
      <c r="F31" s="68">
        <v>73.8</v>
      </c>
      <c r="G31" s="66">
        <f t="shared" si="9"/>
        <v>22.759999999999998</v>
      </c>
      <c r="H31" s="66">
        <f t="shared" si="10"/>
        <v>46.831275720164577</v>
      </c>
      <c r="I31" s="67">
        <v>6</v>
      </c>
      <c r="J31" s="68">
        <v>74.3</v>
      </c>
      <c r="K31" s="66">
        <f t="shared" si="11"/>
        <v>8.86</v>
      </c>
      <c r="L31" s="67">
        <f t="shared" si="12"/>
        <v>100</v>
      </c>
      <c r="M31" s="66">
        <f t="shared" si="13"/>
        <v>18.230452674897105</v>
      </c>
      <c r="N31" s="66">
        <f t="shared" si="14"/>
        <v>28.600823045267472</v>
      </c>
      <c r="O31" s="66">
        <f t="shared" si="15"/>
        <v>53.168724279835423</v>
      </c>
      <c r="P31" s="68" t="s">
        <v>360</v>
      </c>
    </row>
    <row r="32" spans="1:16" ht="15.75" x14ac:dyDescent="0.25">
      <c r="A32" s="75">
        <v>44259</v>
      </c>
      <c r="B32" s="82" t="s">
        <v>323</v>
      </c>
      <c r="C32" s="79">
        <v>3.2000000000000028</v>
      </c>
      <c r="D32" s="65">
        <f t="shared" si="8"/>
        <v>2.0661157024793391</v>
      </c>
      <c r="E32" s="68">
        <v>23</v>
      </c>
      <c r="F32" s="68">
        <v>72.7</v>
      </c>
      <c r="G32" s="66">
        <f t="shared" si="9"/>
        <v>25.54</v>
      </c>
      <c r="H32" s="66">
        <f t="shared" si="10"/>
        <v>52.768595041322321</v>
      </c>
      <c r="I32" s="67">
        <v>4</v>
      </c>
      <c r="J32" s="68">
        <v>74.099999999999994</v>
      </c>
      <c r="K32" s="66">
        <f t="shared" si="11"/>
        <v>6.8199999999999985</v>
      </c>
      <c r="L32" s="67">
        <f t="shared" si="12"/>
        <v>100</v>
      </c>
      <c r="M32" s="66">
        <f t="shared" si="13"/>
        <v>14.09090909090909</v>
      </c>
      <c r="N32" s="66">
        <f t="shared" si="14"/>
        <v>38.677685950413235</v>
      </c>
      <c r="O32" s="66">
        <f t="shared" si="15"/>
        <v>47.231404958677679</v>
      </c>
      <c r="P32" s="68" t="s">
        <v>362</v>
      </c>
    </row>
    <row r="33" spans="1:16" ht="15.75" x14ac:dyDescent="0.25">
      <c r="A33" s="75">
        <v>44259</v>
      </c>
      <c r="B33" s="82" t="s">
        <v>324</v>
      </c>
      <c r="C33" s="79">
        <v>2.1999999999999886</v>
      </c>
      <c r="D33" s="65">
        <f t="shared" si="8"/>
        <v>2.0449897750511243</v>
      </c>
      <c r="E33" s="68">
        <v>18</v>
      </c>
      <c r="F33" s="68">
        <v>72.5</v>
      </c>
      <c r="G33" s="66">
        <f t="shared" si="9"/>
        <v>20.5</v>
      </c>
      <c r="H33" s="66">
        <f t="shared" si="10"/>
        <v>41.922290388548049</v>
      </c>
      <c r="I33" s="67">
        <v>6</v>
      </c>
      <c r="J33" s="68">
        <v>74.2</v>
      </c>
      <c r="K33" s="66">
        <f t="shared" si="11"/>
        <v>8.84</v>
      </c>
      <c r="L33" s="67">
        <f t="shared" si="12"/>
        <v>100</v>
      </c>
      <c r="M33" s="66">
        <f t="shared" si="13"/>
        <v>18.07770961145194</v>
      </c>
      <c r="N33" s="66">
        <f t="shared" si="14"/>
        <v>23.844580777096109</v>
      </c>
      <c r="O33" s="66">
        <f t="shared" si="15"/>
        <v>58.077709611451951</v>
      </c>
      <c r="P33" s="68" t="s">
        <v>360</v>
      </c>
    </row>
    <row r="34" spans="1:16" ht="15.75" x14ac:dyDescent="0.25">
      <c r="A34" s="75">
        <v>44259</v>
      </c>
      <c r="B34" s="78" t="s">
        <v>16</v>
      </c>
      <c r="C34" s="79">
        <v>3.2000000000000028</v>
      </c>
      <c r="D34" s="65">
        <f t="shared" si="8"/>
        <v>2.0661157024793391</v>
      </c>
      <c r="E34" s="68">
        <v>26</v>
      </c>
      <c r="F34" s="68">
        <v>72.599999999999994</v>
      </c>
      <c r="G34" s="66">
        <f t="shared" si="9"/>
        <v>28.52</v>
      </c>
      <c r="H34" s="66">
        <f t="shared" si="10"/>
        <v>58.925619834710751</v>
      </c>
      <c r="I34" s="67">
        <v>7</v>
      </c>
      <c r="J34" s="68">
        <v>74.3</v>
      </c>
      <c r="K34" s="66">
        <f t="shared" si="11"/>
        <v>9.86</v>
      </c>
      <c r="L34" s="67">
        <f t="shared" si="12"/>
        <v>100</v>
      </c>
      <c r="M34" s="66">
        <f t="shared" si="13"/>
        <v>20.371900826446282</v>
      </c>
      <c r="N34" s="66">
        <f t="shared" si="14"/>
        <v>38.553719008264466</v>
      </c>
      <c r="O34" s="66">
        <f t="shared" si="15"/>
        <v>41.074380165289249</v>
      </c>
      <c r="P34" s="81" t="s">
        <v>362</v>
      </c>
    </row>
    <row r="35" spans="1:16" ht="15.75" x14ac:dyDescent="0.25">
      <c r="A35" s="64" t="s">
        <v>3</v>
      </c>
      <c r="B35" s="64" t="s">
        <v>346</v>
      </c>
      <c r="C35" s="64" t="s">
        <v>347</v>
      </c>
      <c r="D35" s="64" t="s">
        <v>348</v>
      </c>
      <c r="E35" s="64" t="s">
        <v>349</v>
      </c>
      <c r="F35" s="64" t="s">
        <v>350</v>
      </c>
      <c r="G35" s="64" t="s">
        <v>351</v>
      </c>
      <c r="H35" s="64" t="s">
        <v>352</v>
      </c>
      <c r="I35" s="64" t="s">
        <v>353</v>
      </c>
      <c r="J35" s="64" t="s">
        <v>354</v>
      </c>
      <c r="K35" s="64" t="s">
        <v>351</v>
      </c>
      <c r="L35" s="64" t="s">
        <v>355</v>
      </c>
      <c r="M35" s="64" t="s">
        <v>356</v>
      </c>
      <c r="N35" s="64" t="s">
        <v>357</v>
      </c>
      <c r="O35" s="64" t="s">
        <v>358</v>
      </c>
      <c r="P35" s="64" t="s">
        <v>359</v>
      </c>
    </row>
    <row r="36" spans="1:16" ht="15.75" x14ac:dyDescent="0.25">
      <c r="A36" s="75">
        <v>44300</v>
      </c>
      <c r="B36" s="82" t="s">
        <v>325</v>
      </c>
      <c r="C36" s="79">
        <v>4.8000000000000398</v>
      </c>
      <c r="D36" s="65">
        <f t="shared" si="8"/>
        <v>2.1008403361344548</v>
      </c>
      <c r="E36" s="68">
        <v>34</v>
      </c>
      <c r="F36" s="68">
        <v>78.2</v>
      </c>
      <c r="G36" s="66">
        <f>+((F36-60)*0.2+(E36))</f>
        <v>37.64</v>
      </c>
      <c r="H36" s="66">
        <f t="shared" si="10"/>
        <v>79.075630252100879</v>
      </c>
      <c r="I36" s="67">
        <v>21</v>
      </c>
      <c r="J36" s="68">
        <v>77.2</v>
      </c>
      <c r="K36" s="66">
        <f t="shared" si="11"/>
        <v>24.44</v>
      </c>
      <c r="L36" s="67">
        <f t="shared" si="12"/>
        <v>100</v>
      </c>
      <c r="M36" s="66">
        <f>+(K36*D36)</f>
        <v>51.344537815126074</v>
      </c>
      <c r="N36" s="66">
        <f t="shared" si="14"/>
        <v>27.731092436974805</v>
      </c>
      <c r="O36" s="66">
        <f t="shared" si="15"/>
        <v>20.924369747899121</v>
      </c>
      <c r="P36" s="68" t="s">
        <v>366</v>
      </c>
    </row>
    <row r="37" spans="1:16" ht="15.75" x14ac:dyDescent="0.25">
      <c r="A37" s="75">
        <v>44300</v>
      </c>
      <c r="B37" s="82" t="s">
        <v>326</v>
      </c>
      <c r="C37" s="79">
        <v>4.7999999999999687</v>
      </c>
      <c r="D37" s="65">
        <f t="shared" si="8"/>
        <v>2.100840336134453</v>
      </c>
      <c r="E37" s="68">
        <v>36</v>
      </c>
      <c r="F37" s="68">
        <v>77.400000000000006</v>
      </c>
      <c r="G37" s="66">
        <f t="shared" si="9"/>
        <v>39.480000000000004</v>
      </c>
      <c r="H37" s="66">
        <f t="shared" si="10"/>
        <v>82.941176470588218</v>
      </c>
      <c r="I37" s="67">
        <v>23</v>
      </c>
      <c r="J37" s="68">
        <v>77.3</v>
      </c>
      <c r="K37" s="66">
        <f t="shared" si="11"/>
        <v>26.46</v>
      </c>
      <c r="L37" s="67">
        <f t="shared" si="12"/>
        <v>100</v>
      </c>
      <c r="M37" s="66">
        <f t="shared" si="13"/>
        <v>55.588235294117631</v>
      </c>
      <c r="N37" s="66">
        <f t="shared" si="14"/>
        <v>27.352941176470587</v>
      </c>
      <c r="O37" s="66">
        <f t="shared" si="15"/>
        <v>17.058823529411782</v>
      </c>
      <c r="P37" s="68" t="s">
        <v>366</v>
      </c>
    </row>
    <row r="38" spans="1:16" ht="15.75" x14ac:dyDescent="0.25">
      <c r="A38" s="75">
        <v>44300</v>
      </c>
      <c r="B38" s="82" t="s">
        <v>327</v>
      </c>
      <c r="C38" s="79">
        <v>5.1999999999999602</v>
      </c>
      <c r="D38" s="65">
        <f t="shared" si="8"/>
        <v>2.1097046413502101</v>
      </c>
      <c r="E38" s="68">
        <v>34</v>
      </c>
      <c r="F38" s="68">
        <v>78.2</v>
      </c>
      <c r="G38" s="66">
        <f>+((F38-60)*0.2+(E38))</f>
        <v>37.64</v>
      </c>
      <c r="H38" s="66">
        <f t="shared" si="10"/>
        <v>79.409282700421912</v>
      </c>
      <c r="I38" s="67">
        <v>20</v>
      </c>
      <c r="J38" s="68">
        <v>77.5</v>
      </c>
      <c r="K38" s="66">
        <f t="shared" si="11"/>
        <v>23.5</v>
      </c>
      <c r="L38" s="67">
        <f t="shared" si="12"/>
        <v>100</v>
      </c>
      <c r="M38" s="66">
        <f t="shared" si="13"/>
        <v>49.578059071729939</v>
      </c>
      <c r="N38" s="66">
        <f t="shared" si="14"/>
        <v>29.831223628691973</v>
      </c>
      <c r="O38" s="66">
        <f t="shared" si="15"/>
        <v>20.590717299578088</v>
      </c>
      <c r="P38" s="68" t="s">
        <v>366</v>
      </c>
    </row>
    <row r="39" spans="1:16" ht="15.75" x14ac:dyDescent="0.25">
      <c r="A39" s="75">
        <v>44300</v>
      </c>
      <c r="B39" s="82" t="s">
        <v>328</v>
      </c>
      <c r="C39" s="79">
        <v>4.3999999999999773</v>
      </c>
      <c r="D39" s="65">
        <f t="shared" si="8"/>
        <v>2.0920502092050204</v>
      </c>
      <c r="E39" s="68">
        <v>33</v>
      </c>
      <c r="F39" s="68">
        <v>77.5</v>
      </c>
      <c r="G39" s="66">
        <f t="shared" si="9"/>
        <v>36.5</v>
      </c>
      <c r="H39" s="66">
        <f t="shared" si="10"/>
        <v>76.359832635983238</v>
      </c>
      <c r="I39" s="67">
        <v>18</v>
      </c>
      <c r="J39" s="68">
        <v>77.3</v>
      </c>
      <c r="K39" s="66">
        <f t="shared" si="11"/>
        <v>21.46</v>
      </c>
      <c r="L39" s="67">
        <f t="shared" si="12"/>
        <v>100</v>
      </c>
      <c r="M39" s="66">
        <f t="shared" si="13"/>
        <v>44.895397489539739</v>
      </c>
      <c r="N39" s="66">
        <f t="shared" si="14"/>
        <v>31.464435146443499</v>
      </c>
      <c r="O39" s="66">
        <f t="shared" si="15"/>
        <v>23.640167364016762</v>
      </c>
      <c r="P39" s="68" t="s">
        <v>366</v>
      </c>
    </row>
    <row r="40" spans="1:16" ht="15.75" x14ac:dyDescent="0.25">
      <c r="A40" s="75">
        <v>44300</v>
      </c>
      <c r="B40" s="82" t="s">
        <v>329</v>
      </c>
      <c r="C40" s="79">
        <v>4.3999999999999773</v>
      </c>
      <c r="D40" s="65">
        <f t="shared" si="8"/>
        <v>2.0920502092050204</v>
      </c>
      <c r="E40" s="68">
        <v>32</v>
      </c>
      <c r="F40" s="68">
        <v>77.400000000000006</v>
      </c>
      <c r="G40" s="66">
        <f t="shared" si="9"/>
        <v>35.480000000000004</v>
      </c>
      <c r="H40" s="66">
        <f t="shared" si="10"/>
        <v>74.225941422594133</v>
      </c>
      <c r="I40" s="67">
        <v>17</v>
      </c>
      <c r="J40" s="68">
        <v>77.3</v>
      </c>
      <c r="K40" s="66">
        <f t="shared" si="11"/>
        <v>20.46</v>
      </c>
      <c r="L40" s="67">
        <f t="shared" si="12"/>
        <v>100</v>
      </c>
      <c r="M40" s="66">
        <f t="shared" si="13"/>
        <v>42.803347280334719</v>
      </c>
      <c r="N40" s="66">
        <f t="shared" si="14"/>
        <v>31.422594142259413</v>
      </c>
      <c r="O40" s="66">
        <f t="shared" si="15"/>
        <v>25.774058577405867</v>
      </c>
      <c r="P40" s="68" t="s">
        <v>366</v>
      </c>
    </row>
    <row r="41" spans="1:16" ht="15.75" x14ac:dyDescent="0.25">
      <c r="A41" s="75">
        <v>44300</v>
      </c>
      <c r="B41" s="82" t="s">
        <v>330</v>
      </c>
      <c r="C41" s="79">
        <v>4.199999999999946</v>
      </c>
      <c r="D41" s="65">
        <f t="shared" si="8"/>
        <v>2.0876826722338193</v>
      </c>
      <c r="E41" s="68">
        <v>32</v>
      </c>
      <c r="F41" s="68">
        <v>77.5</v>
      </c>
      <c r="G41" s="66">
        <f t="shared" si="9"/>
        <v>35.5</v>
      </c>
      <c r="H41" s="66">
        <f t="shared" si="10"/>
        <v>74.112734864300592</v>
      </c>
      <c r="I41" s="67">
        <v>15</v>
      </c>
      <c r="J41" s="68">
        <v>77.2</v>
      </c>
      <c r="K41" s="66">
        <f t="shared" si="11"/>
        <v>18.440000000000001</v>
      </c>
      <c r="L41" s="67">
        <f t="shared" si="12"/>
        <v>100</v>
      </c>
      <c r="M41" s="66">
        <f t="shared" si="13"/>
        <v>38.496868475991633</v>
      </c>
      <c r="N41" s="66">
        <f t="shared" si="14"/>
        <v>35.615866388308959</v>
      </c>
      <c r="O41" s="66">
        <f t="shared" si="15"/>
        <v>25.887265135699408</v>
      </c>
      <c r="P41" s="68" t="s">
        <v>367</v>
      </c>
    </row>
    <row r="42" spans="1:16" ht="15.75" x14ac:dyDescent="0.25">
      <c r="A42" s="75">
        <v>44300</v>
      </c>
      <c r="B42" s="84" t="s">
        <v>331</v>
      </c>
      <c r="C42" s="79">
        <v>4.8000000000000398</v>
      </c>
      <c r="D42" s="65">
        <f t="shared" si="8"/>
        <v>2.1008403361344548</v>
      </c>
      <c r="E42" s="68">
        <v>24</v>
      </c>
      <c r="F42" s="68">
        <v>78.599999999999994</v>
      </c>
      <c r="G42" s="66">
        <f t="shared" si="9"/>
        <v>27.72</v>
      </c>
      <c r="H42" s="66">
        <f t="shared" si="10"/>
        <v>58.235294117647086</v>
      </c>
      <c r="I42" s="67">
        <v>10</v>
      </c>
      <c r="J42" s="68">
        <v>78</v>
      </c>
      <c r="K42" s="66">
        <f t="shared" si="11"/>
        <v>13.6</v>
      </c>
      <c r="L42" s="67">
        <f t="shared" si="12"/>
        <v>100</v>
      </c>
      <c r="M42" s="66">
        <f t="shared" si="13"/>
        <v>28.571428571428584</v>
      </c>
      <c r="N42" s="66">
        <f t="shared" si="14"/>
        <v>29.663865546218503</v>
      </c>
      <c r="O42" s="66">
        <f t="shared" si="15"/>
        <v>41.764705882352914</v>
      </c>
      <c r="P42" s="68" t="s">
        <v>367</v>
      </c>
    </row>
    <row r="43" spans="1:16" ht="15.75" x14ac:dyDescent="0.25">
      <c r="A43" s="75">
        <v>44300</v>
      </c>
      <c r="B43" s="84" t="s">
        <v>332</v>
      </c>
      <c r="C43" s="79">
        <v>4.6000000000000085</v>
      </c>
      <c r="D43" s="65">
        <f t="shared" si="8"/>
        <v>2.0964360587002098</v>
      </c>
      <c r="E43" s="68">
        <v>25</v>
      </c>
      <c r="F43" s="68">
        <v>78.2</v>
      </c>
      <c r="G43" s="66">
        <f t="shared" si="9"/>
        <v>28.64</v>
      </c>
      <c r="H43" s="66">
        <f t="shared" si="10"/>
        <v>60.04192872117401</v>
      </c>
      <c r="I43" s="67">
        <v>8</v>
      </c>
      <c r="J43" s="68">
        <v>77.7</v>
      </c>
      <c r="K43" s="66">
        <f t="shared" si="11"/>
        <v>11.540000000000001</v>
      </c>
      <c r="L43" s="67">
        <f t="shared" si="12"/>
        <v>100</v>
      </c>
      <c r="M43" s="66">
        <f t="shared" si="13"/>
        <v>24.192872117400423</v>
      </c>
      <c r="N43" s="66">
        <f t="shared" si="14"/>
        <v>35.84905660377359</v>
      </c>
      <c r="O43" s="66">
        <f t="shared" si="15"/>
        <v>39.95807127882599</v>
      </c>
      <c r="P43" s="68" t="s">
        <v>362</v>
      </c>
    </row>
    <row r="44" spans="1:16" ht="15.75" x14ac:dyDescent="0.25">
      <c r="A44" s="75">
        <v>44300</v>
      </c>
      <c r="B44" s="84" t="s">
        <v>333</v>
      </c>
      <c r="C44" s="79">
        <v>5.9999999999999432</v>
      </c>
      <c r="D44" s="65">
        <f t="shared" si="8"/>
        <v>2.1276595744680837</v>
      </c>
      <c r="E44" s="68">
        <v>32</v>
      </c>
      <c r="F44" s="68">
        <v>78.8</v>
      </c>
      <c r="G44" s="66">
        <f t="shared" si="9"/>
        <v>35.76</v>
      </c>
      <c r="H44" s="66">
        <f t="shared" si="10"/>
        <v>76.085106382978665</v>
      </c>
      <c r="I44" s="67">
        <v>15</v>
      </c>
      <c r="J44" s="68">
        <v>77.7</v>
      </c>
      <c r="K44" s="66">
        <f t="shared" si="11"/>
        <v>18.54</v>
      </c>
      <c r="L44" s="67">
        <f t="shared" si="12"/>
        <v>100</v>
      </c>
      <c r="M44" s="66">
        <f>+(K44*D44)</f>
        <v>39.44680851063827</v>
      </c>
      <c r="N44" s="66">
        <f t="shared" si="14"/>
        <v>36.638297872340395</v>
      </c>
      <c r="O44" s="66">
        <f t="shared" si="15"/>
        <v>23.914893617021335</v>
      </c>
      <c r="P44" s="68" t="s">
        <v>367</v>
      </c>
    </row>
    <row r="45" spans="1:16" ht="15.75" x14ac:dyDescent="0.25">
      <c r="A45" s="75">
        <v>44300</v>
      </c>
      <c r="B45" s="84" t="s">
        <v>334</v>
      </c>
      <c r="C45" s="79">
        <v>4.2000000000000171</v>
      </c>
      <c r="D45" s="65">
        <f t="shared" si="8"/>
        <v>2.0876826722338206</v>
      </c>
      <c r="E45" s="68">
        <v>25</v>
      </c>
      <c r="F45" s="68">
        <v>77.400000000000006</v>
      </c>
      <c r="G45" s="66">
        <f t="shared" si="9"/>
        <v>28.48</v>
      </c>
      <c r="H45" s="66">
        <f t="shared" si="10"/>
        <v>59.457202505219215</v>
      </c>
      <c r="I45" s="67">
        <v>9</v>
      </c>
      <c r="J45" s="68">
        <v>77.5</v>
      </c>
      <c r="K45" s="66">
        <f t="shared" si="11"/>
        <v>12.5</v>
      </c>
      <c r="L45" s="67">
        <f t="shared" si="12"/>
        <v>100</v>
      </c>
      <c r="M45" s="66">
        <f t="shared" si="13"/>
        <v>26.096033402922757</v>
      </c>
      <c r="N45" s="66">
        <f t="shared" si="14"/>
        <v>33.361169102296458</v>
      </c>
      <c r="O45" s="66">
        <f t="shared" si="15"/>
        <v>40.542797494780785</v>
      </c>
      <c r="P45" s="68" t="s">
        <v>362</v>
      </c>
    </row>
    <row r="46" spans="1:16" ht="15.75" x14ac:dyDescent="0.25">
      <c r="A46" s="75">
        <v>44300</v>
      </c>
      <c r="B46" s="84" t="s">
        <v>335</v>
      </c>
      <c r="C46" s="79">
        <v>6.4000000000000057</v>
      </c>
      <c r="D46" s="65">
        <f t="shared" si="8"/>
        <v>2.1367521367521367</v>
      </c>
      <c r="E46" s="68">
        <v>30</v>
      </c>
      <c r="F46" s="68">
        <v>77.099999999999994</v>
      </c>
      <c r="G46" s="66">
        <f t="shared" si="9"/>
        <v>33.42</v>
      </c>
      <c r="H46" s="66">
        <f t="shared" si="10"/>
        <v>71.410256410256409</v>
      </c>
      <c r="I46" s="67">
        <v>6</v>
      </c>
      <c r="J46" s="68">
        <v>77.5</v>
      </c>
      <c r="K46" s="66">
        <f t="shared" si="11"/>
        <v>9.5</v>
      </c>
      <c r="L46" s="67">
        <f t="shared" si="12"/>
        <v>100</v>
      </c>
      <c r="M46" s="66">
        <f t="shared" si="13"/>
        <v>20.299145299145298</v>
      </c>
      <c r="N46" s="66">
        <f t="shared" si="14"/>
        <v>51.111111111111114</v>
      </c>
      <c r="O46" s="66">
        <f t="shared" si="15"/>
        <v>28.589743589743591</v>
      </c>
      <c r="P46" s="68" t="s">
        <v>368</v>
      </c>
    </row>
    <row r="47" spans="1:16" ht="15.75" x14ac:dyDescent="0.25">
      <c r="A47" s="75">
        <v>44300</v>
      </c>
      <c r="B47" s="84" t="s">
        <v>336</v>
      </c>
      <c r="C47" s="79">
        <v>6.4000000000000057</v>
      </c>
      <c r="D47" s="65">
        <f t="shared" si="8"/>
        <v>2.1367521367521367</v>
      </c>
      <c r="E47" s="68">
        <v>30</v>
      </c>
      <c r="F47" s="68">
        <v>76.8</v>
      </c>
      <c r="G47" s="66">
        <f t="shared" si="9"/>
        <v>33.36</v>
      </c>
      <c r="H47" s="66">
        <f t="shared" si="10"/>
        <v>71.282051282051285</v>
      </c>
      <c r="I47" s="67">
        <v>10</v>
      </c>
      <c r="J47" s="68">
        <v>77.5</v>
      </c>
      <c r="K47" s="66">
        <f t="shared" si="11"/>
        <v>13.5</v>
      </c>
      <c r="L47" s="67">
        <f t="shared" si="12"/>
        <v>100</v>
      </c>
      <c r="M47" s="66">
        <f t="shared" si="13"/>
        <v>28.846153846153847</v>
      </c>
      <c r="N47" s="66">
        <f t="shared" si="14"/>
        <v>42.435897435897438</v>
      </c>
      <c r="O47" s="66">
        <f t="shared" si="15"/>
        <v>28.717948717948715</v>
      </c>
      <c r="P47" s="68" t="s">
        <v>367</v>
      </c>
    </row>
    <row r="48" spans="1:16" ht="15.75" x14ac:dyDescent="0.25">
      <c r="A48" s="75">
        <v>44300</v>
      </c>
      <c r="B48" s="78" t="s">
        <v>16</v>
      </c>
      <c r="C48" s="79">
        <v>3.0000000000000426</v>
      </c>
      <c r="D48" s="65">
        <f t="shared" si="8"/>
        <v>2.0618556701030939</v>
      </c>
      <c r="E48" s="68">
        <v>25</v>
      </c>
      <c r="F48" s="68">
        <v>77.5</v>
      </c>
      <c r="G48" s="66">
        <f t="shared" si="9"/>
        <v>28.5</v>
      </c>
      <c r="H48" s="66">
        <f t="shared" si="10"/>
        <v>58.762886597938177</v>
      </c>
      <c r="I48" s="67">
        <v>6</v>
      </c>
      <c r="J48" s="68">
        <v>77.400000000000006</v>
      </c>
      <c r="K48" s="66">
        <f t="shared" si="11"/>
        <v>9.48</v>
      </c>
      <c r="L48" s="67">
        <f t="shared" si="12"/>
        <v>100</v>
      </c>
      <c r="M48" s="66">
        <f t="shared" si="13"/>
        <v>19.546391752577332</v>
      </c>
      <c r="N48" s="66">
        <f t="shared" si="14"/>
        <v>39.216494845360842</v>
      </c>
      <c r="O48" s="66">
        <f t="shared" si="15"/>
        <v>41.237113402061823</v>
      </c>
      <c r="P48" s="81" t="s">
        <v>362</v>
      </c>
    </row>
    <row r="49" spans="1:16" ht="15.75" x14ac:dyDescent="0.25">
      <c r="A49" s="64" t="s">
        <v>3</v>
      </c>
      <c r="B49" s="64" t="s">
        <v>346</v>
      </c>
      <c r="C49" s="64" t="s">
        <v>347</v>
      </c>
      <c r="D49" s="64" t="s">
        <v>348</v>
      </c>
      <c r="E49" s="64" t="s">
        <v>349</v>
      </c>
      <c r="F49" s="64" t="s">
        <v>350</v>
      </c>
      <c r="G49" s="64" t="s">
        <v>351</v>
      </c>
      <c r="H49" s="64" t="s">
        <v>352</v>
      </c>
      <c r="I49" s="64" t="s">
        <v>353</v>
      </c>
      <c r="J49" s="64" t="s">
        <v>354</v>
      </c>
      <c r="K49" s="64" t="s">
        <v>351</v>
      </c>
      <c r="L49" s="64" t="s">
        <v>355</v>
      </c>
      <c r="M49" s="64" t="s">
        <v>356</v>
      </c>
      <c r="N49" s="64" t="s">
        <v>357</v>
      </c>
      <c r="O49" s="64" t="s">
        <v>358</v>
      </c>
      <c r="P49" s="64" t="s">
        <v>359</v>
      </c>
    </row>
    <row r="50" spans="1:16" ht="15.75" x14ac:dyDescent="0.25">
      <c r="A50" s="75">
        <v>44321</v>
      </c>
      <c r="B50" s="82" t="s">
        <v>144</v>
      </c>
      <c r="C50" s="79">
        <v>3.4000000000000341</v>
      </c>
      <c r="D50" s="65">
        <f t="shared" ref="D50" si="16">+(200/(100-C50))</f>
        <v>2.0703933747412018</v>
      </c>
      <c r="E50" s="68">
        <v>41</v>
      </c>
      <c r="F50" s="68">
        <v>76.8</v>
      </c>
      <c r="G50" s="66">
        <f t="shared" ref="G50" si="17">+((F50-60)*0.2+(E50))</f>
        <v>44.36</v>
      </c>
      <c r="H50" s="66">
        <f t="shared" ref="H50" si="18">+(G50*D50)</f>
        <v>91.842650103519716</v>
      </c>
      <c r="I50" s="67">
        <v>26</v>
      </c>
      <c r="J50" s="68">
        <v>76.400000000000006</v>
      </c>
      <c r="K50" s="66">
        <f t="shared" ref="K50" si="19">+((J50-60)*0.2+(I50))</f>
        <v>29.28</v>
      </c>
      <c r="L50" s="67">
        <f t="shared" ref="L50" si="20">+(M50+N50+O50)</f>
        <v>100</v>
      </c>
      <c r="M50" s="66">
        <f t="shared" ref="M50" si="21">+(K50*D50)</f>
        <v>60.621118012422393</v>
      </c>
      <c r="N50" s="66">
        <f t="shared" ref="N50" si="22">+(H50-M50)</f>
        <v>31.221532091097323</v>
      </c>
      <c r="O50" s="66">
        <f t="shared" ref="O50" si="23">+(100-H50)</f>
        <v>8.1573498964802837</v>
      </c>
      <c r="P50" s="68" t="s">
        <v>366</v>
      </c>
    </row>
    <row r="51" spans="1:16" ht="15.75" x14ac:dyDescent="0.25">
      <c r="A51" s="75">
        <v>44321</v>
      </c>
      <c r="B51" s="82" t="s">
        <v>145</v>
      </c>
      <c r="C51" s="79">
        <v>3.4000000000000341</v>
      </c>
      <c r="D51" s="65">
        <f t="shared" ref="D51:D63" si="24">+(200/(100-C51))</f>
        <v>2.0703933747412018</v>
      </c>
      <c r="E51" s="68">
        <v>39</v>
      </c>
      <c r="F51" s="68">
        <v>76.599999999999994</v>
      </c>
      <c r="G51" s="66">
        <f t="shared" ref="G51:G63" si="25">+((F51-60)*0.2+(E51))</f>
        <v>42.32</v>
      </c>
      <c r="H51" s="66">
        <f t="shared" ref="H51:H63" si="26">+(G51*D51)</f>
        <v>87.619047619047663</v>
      </c>
      <c r="I51" s="67">
        <v>25</v>
      </c>
      <c r="J51" s="68">
        <v>76.599999999999994</v>
      </c>
      <c r="K51" s="66">
        <f t="shared" ref="K51:K63" si="27">+((J51-60)*0.2+(I51))</f>
        <v>28.32</v>
      </c>
      <c r="L51" s="67">
        <f t="shared" ref="L51:L63" si="28">+(M51+N51+O51)</f>
        <v>100</v>
      </c>
      <c r="M51" s="66">
        <f t="shared" ref="M51:M63" si="29">+(K51*D51)</f>
        <v>58.633540372670836</v>
      </c>
      <c r="N51" s="66">
        <f t="shared" ref="N51:N63" si="30">+(H51-M51)</f>
        <v>28.985507246376827</v>
      </c>
      <c r="O51" s="66">
        <f t="shared" ref="O51:O63" si="31">+(100-H51)</f>
        <v>12.380952380952337</v>
      </c>
      <c r="P51" s="68" t="s">
        <v>366</v>
      </c>
    </row>
    <row r="52" spans="1:16" ht="15.75" x14ac:dyDescent="0.25">
      <c r="A52" s="75">
        <v>44321</v>
      </c>
      <c r="B52" s="82" t="s">
        <v>146</v>
      </c>
      <c r="C52" s="79">
        <v>3.2000000000000028</v>
      </c>
      <c r="D52" s="65">
        <f t="shared" si="24"/>
        <v>2.0661157024793391</v>
      </c>
      <c r="E52" s="68">
        <v>37</v>
      </c>
      <c r="F52" s="68">
        <v>77.099999999999994</v>
      </c>
      <c r="G52" s="66">
        <f t="shared" si="25"/>
        <v>40.42</v>
      </c>
      <c r="H52" s="66">
        <f t="shared" si="26"/>
        <v>83.512396694214885</v>
      </c>
      <c r="I52" s="67">
        <v>23</v>
      </c>
      <c r="J52" s="68">
        <v>76.8</v>
      </c>
      <c r="K52" s="66">
        <f t="shared" si="27"/>
        <v>26.36</v>
      </c>
      <c r="L52" s="67">
        <f t="shared" si="28"/>
        <v>100</v>
      </c>
      <c r="M52" s="66">
        <f t="shared" si="29"/>
        <v>54.462809917355379</v>
      </c>
      <c r="N52" s="66">
        <f t="shared" si="30"/>
        <v>29.049586776859506</v>
      </c>
      <c r="O52" s="66">
        <f t="shared" si="31"/>
        <v>16.487603305785115</v>
      </c>
      <c r="P52" s="68" t="s">
        <v>366</v>
      </c>
    </row>
    <row r="53" spans="1:16" ht="15.75" x14ac:dyDescent="0.25">
      <c r="A53" s="75">
        <v>44321</v>
      </c>
      <c r="B53" s="82" t="s">
        <v>147</v>
      </c>
      <c r="C53" s="79">
        <v>3.2000000000000028</v>
      </c>
      <c r="D53" s="65">
        <f t="shared" si="24"/>
        <v>2.0661157024793391</v>
      </c>
      <c r="E53" s="68">
        <v>30</v>
      </c>
      <c r="F53" s="68">
        <v>75.900000000000006</v>
      </c>
      <c r="G53" s="66">
        <f t="shared" si="25"/>
        <v>33.18</v>
      </c>
      <c r="H53" s="66">
        <f t="shared" si="26"/>
        <v>68.553719008264466</v>
      </c>
      <c r="I53" s="67">
        <v>15</v>
      </c>
      <c r="J53" s="68">
        <v>76.599999999999994</v>
      </c>
      <c r="K53" s="66">
        <f t="shared" si="27"/>
        <v>18.32</v>
      </c>
      <c r="L53" s="67">
        <f t="shared" si="28"/>
        <v>100</v>
      </c>
      <c r="M53" s="66">
        <f t="shared" si="29"/>
        <v>37.851239669421496</v>
      </c>
      <c r="N53" s="66">
        <f t="shared" si="30"/>
        <v>30.70247933884297</v>
      </c>
      <c r="O53" s="66">
        <f t="shared" si="31"/>
        <v>31.446280991735534</v>
      </c>
      <c r="P53" s="68" t="s">
        <v>365</v>
      </c>
    </row>
    <row r="54" spans="1:16" ht="15.75" x14ac:dyDescent="0.25">
      <c r="A54" s="75">
        <v>44321</v>
      </c>
      <c r="B54" s="82" t="s">
        <v>148</v>
      </c>
      <c r="C54" s="79">
        <v>2.9999999999999716</v>
      </c>
      <c r="D54" s="65">
        <f t="shared" si="24"/>
        <v>2.0618556701030921</v>
      </c>
      <c r="E54" s="68">
        <v>25</v>
      </c>
      <c r="F54" s="68">
        <v>75.900000000000006</v>
      </c>
      <c r="G54" s="66">
        <f t="shared" si="25"/>
        <v>28.18</v>
      </c>
      <c r="H54" s="66">
        <f t="shared" si="26"/>
        <v>58.103092783505133</v>
      </c>
      <c r="I54" s="67">
        <v>10</v>
      </c>
      <c r="J54" s="68">
        <v>76.7</v>
      </c>
      <c r="K54" s="66">
        <f t="shared" si="27"/>
        <v>13.34</v>
      </c>
      <c r="L54" s="67">
        <f t="shared" si="28"/>
        <v>100</v>
      </c>
      <c r="M54" s="66">
        <f t="shared" si="29"/>
        <v>27.505154639175249</v>
      </c>
      <c r="N54" s="66">
        <f t="shared" si="30"/>
        <v>30.597938144329884</v>
      </c>
      <c r="O54" s="66">
        <f t="shared" si="31"/>
        <v>41.896907216494867</v>
      </c>
      <c r="P54" s="68" t="s">
        <v>365</v>
      </c>
    </row>
    <row r="55" spans="1:16" ht="15.75" x14ac:dyDescent="0.25">
      <c r="A55" s="75">
        <v>44321</v>
      </c>
      <c r="B55" s="82" t="s">
        <v>149</v>
      </c>
      <c r="C55" s="79">
        <v>4.199999999999946</v>
      </c>
      <c r="D55" s="65">
        <f t="shared" si="24"/>
        <v>2.0876826722338193</v>
      </c>
      <c r="E55" s="68">
        <v>35</v>
      </c>
      <c r="F55" s="68">
        <v>76.3</v>
      </c>
      <c r="G55" s="66">
        <f t="shared" si="25"/>
        <v>38.26</v>
      </c>
      <c r="H55" s="66">
        <f t="shared" si="26"/>
        <v>79.874739039665926</v>
      </c>
      <c r="I55" s="67">
        <v>18</v>
      </c>
      <c r="J55" s="68">
        <v>76.8</v>
      </c>
      <c r="K55" s="66">
        <f t="shared" si="27"/>
        <v>21.36</v>
      </c>
      <c r="L55" s="67">
        <f t="shared" si="28"/>
        <v>100</v>
      </c>
      <c r="M55" s="66">
        <f t="shared" si="29"/>
        <v>44.592901878914383</v>
      </c>
      <c r="N55" s="66">
        <f t="shared" si="30"/>
        <v>35.281837160751543</v>
      </c>
      <c r="O55" s="66">
        <f t="shared" si="31"/>
        <v>20.125260960334074</v>
      </c>
      <c r="P55" s="68" t="s">
        <v>366</v>
      </c>
    </row>
    <row r="56" spans="1:16" ht="15.75" x14ac:dyDescent="0.25">
      <c r="A56" s="75">
        <v>44321</v>
      </c>
      <c r="B56" s="82" t="s">
        <v>150</v>
      </c>
      <c r="C56" s="79">
        <v>2.5999999999999801</v>
      </c>
      <c r="D56" s="65">
        <f t="shared" si="24"/>
        <v>2.0533880903490758</v>
      </c>
      <c r="E56" s="68">
        <v>30</v>
      </c>
      <c r="F56" s="68">
        <v>77.5</v>
      </c>
      <c r="G56" s="66">
        <f t="shared" si="25"/>
        <v>33.5</v>
      </c>
      <c r="H56" s="66">
        <f t="shared" si="26"/>
        <v>68.788501026694036</v>
      </c>
      <c r="I56" s="67">
        <v>16</v>
      </c>
      <c r="J56" s="68">
        <v>77.2</v>
      </c>
      <c r="K56" s="66">
        <f t="shared" si="27"/>
        <v>19.440000000000001</v>
      </c>
      <c r="L56" s="67">
        <f t="shared" si="28"/>
        <v>100</v>
      </c>
      <c r="M56" s="66">
        <f t="shared" si="29"/>
        <v>39.917864476386036</v>
      </c>
      <c r="N56" s="66">
        <f t="shared" si="30"/>
        <v>28.870636550307999</v>
      </c>
      <c r="O56" s="66">
        <f t="shared" si="31"/>
        <v>31.211498973305964</v>
      </c>
      <c r="P56" s="68" t="s">
        <v>365</v>
      </c>
    </row>
    <row r="57" spans="1:16" ht="15.75" x14ac:dyDescent="0.25">
      <c r="A57" s="75">
        <v>44321</v>
      </c>
      <c r="B57" s="82" t="s">
        <v>151</v>
      </c>
      <c r="C57" s="79">
        <v>3.2000000000000028</v>
      </c>
      <c r="D57" s="65">
        <f t="shared" si="24"/>
        <v>2.0661157024793391</v>
      </c>
      <c r="E57" s="68">
        <v>35</v>
      </c>
      <c r="F57" s="68">
        <v>76.8</v>
      </c>
      <c r="G57" s="66">
        <f t="shared" si="25"/>
        <v>38.36</v>
      </c>
      <c r="H57" s="66">
        <f t="shared" si="26"/>
        <v>79.256198347107443</v>
      </c>
      <c r="I57" s="67">
        <v>23</v>
      </c>
      <c r="J57" s="68">
        <v>77</v>
      </c>
      <c r="K57" s="66">
        <f t="shared" si="27"/>
        <v>26.4</v>
      </c>
      <c r="L57" s="67">
        <f t="shared" si="28"/>
        <v>100</v>
      </c>
      <c r="M57" s="66">
        <f t="shared" si="29"/>
        <v>54.545454545454547</v>
      </c>
      <c r="N57" s="66">
        <f t="shared" si="30"/>
        <v>24.710743801652896</v>
      </c>
      <c r="O57" s="66">
        <f t="shared" si="31"/>
        <v>20.743801652892557</v>
      </c>
      <c r="P57" s="68" t="s">
        <v>366</v>
      </c>
    </row>
    <row r="58" spans="1:16" ht="15.75" x14ac:dyDescent="0.25">
      <c r="A58" s="75">
        <v>44321</v>
      </c>
      <c r="B58" s="82" t="s">
        <v>152</v>
      </c>
      <c r="C58" s="79">
        <v>3.0000000000000426</v>
      </c>
      <c r="D58" s="65">
        <f t="shared" si="24"/>
        <v>2.0618556701030939</v>
      </c>
      <c r="E58" s="68">
        <v>32</v>
      </c>
      <c r="F58" s="68">
        <v>77.5</v>
      </c>
      <c r="G58" s="66">
        <f t="shared" si="25"/>
        <v>35.5</v>
      </c>
      <c r="H58" s="66">
        <f t="shared" si="26"/>
        <v>73.195876288659832</v>
      </c>
      <c r="I58" s="67">
        <v>18</v>
      </c>
      <c r="J58" s="68">
        <v>77.2</v>
      </c>
      <c r="K58" s="66">
        <f t="shared" si="27"/>
        <v>21.44</v>
      </c>
      <c r="L58" s="67">
        <f t="shared" si="28"/>
        <v>100</v>
      </c>
      <c r="M58" s="66">
        <f t="shared" si="29"/>
        <v>44.206185567010337</v>
      </c>
      <c r="N58" s="66">
        <f t="shared" si="30"/>
        <v>28.989690721649495</v>
      </c>
      <c r="O58" s="66">
        <f t="shared" si="31"/>
        <v>26.804123711340168</v>
      </c>
      <c r="P58" s="68" t="s">
        <v>366</v>
      </c>
    </row>
    <row r="59" spans="1:16" ht="15.75" x14ac:dyDescent="0.25">
      <c r="A59" s="75">
        <v>44321</v>
      </c>
      <c r="B59" s="82" t="s">
        <v>153</v>
      </c>
      <c r="C59" s="79">
        <v>2.2000000000000597</v>
      </c>
      <c r="D59" s="65">
        <f t="shared" si="24"/>
        <v>2.0449897750511261</v>
      </c>
      <c r="E59" s="68">
        <v>36</v>
      </c>
      <c r="F59" s="68">
        <v>76.8</v>
      </c>
      <c r="G59" s="66">
        <f t="shared" si="25"/>
        <v>39.36</v>
      </c>
      <c r="H59" s="66">
        <f t="shared" si="26"/>
        <v>80.490797546012317</v>
      </c>
      <c r="I59" s="67">
        <v>24</v>
      </c>
      <c r="J59" s="68">
        <v>76.8</v>
      </c>
      <c r="K59" s="66">
        <f t="shared" si="27"/>
        <v>27.36</v>
      </c>
      <c r="L59" s="67">
        <f t="shared" si="28"/>
        <v>100</v>
      </c>
      <c r="M59" s="66">
        <f t="shared" si="29"/>
        <v>55.950920245398812</v>
      </c>
      <c r="N59" s="66">
        <f t="shared" si="30"/>
        <v>24.539877300613504</v>
      </c>
      <c r="O59" s="66">
        <f t="shared" si="31"/>
        <v>19.509202453987683</v>
      </c>
      <c r="P59" s="68" t="s">
        <v>366</v>
      </c>
    </row>
    <row r="60" spans="1:16" ht="15.75" x14ac:dyDescent="0.25">
      <c r="A60" s="75">
        <v>44321</v>
      </c>
      <c r="B60" s="82" t="s">
        <v>337</v>
      </c>
      <c r="C60" s="79">
        <v>3.5999999999999943</v>
      </c>
      <c r="D60" s="65">
        <f t="shared" si="24"/>
        <v>2.0746887966804977</v>
      </c>
      <c r="E60" s="68">
        <v>21</v>
      </c>
      <c r="F60" s="68">
        <v>76.099999999999994</v>
      </c>
      <c r="G60" s="66">
        <f t="shared" si="25"/>
        <v>24.22</v>
      </c>
      <c r="H60" s="66">
        <f t="shared" si="26"/>
        <v>50.248962655601652</v>
      </c>
      <c r="I60" s="67">
        <v>5</v>
      </c>
      <c r="J60" s="68">
        <v>76.7</v>
      </c>
      <c r="K60" s="66">
        <f t="shared" si="27"/>
        <v>8.34</v>
      </c>
      <c r="L60" s="67">
        <f t="shared" si="28"/>
        <v>100</v>
      </c>
      <c r="M60" s="66">
        <f t="shared" si="29"/>
        <v>17.302904564315352</v>
      </c>
      <c r="N60" s="66">
        <f t="shared" si="30"/>
        <v>32.946058091286304</v>
      </c>
      <c r="O60" s="66">
        <f t="shared" si="31"/>
        <v>49.751037344398348</v>
      </c>
      <c r="P60" s="68" t="s">
        <v>362</v>
      </c>
    </row>
    <row r="61" spans="1:16" ht="15.75" x14ac:dyDescent="0.25">
      <c r="A61" s="75">
        <v>44321</v>
      </c>
      <c r="B61" s="82" t="s">
        <v>338</v>
      </c>
      <c r="C61" s="79">
        <v>3.5999999999999943</v>
      </c>
      <c r="D61" s="65">
        <f t="shared" si="24"/>
        <v>2.0746887966804977</v>
      </c>
      <c r="E61" s="68">
        <v>30</v>
      </c>
      <c r="F61" s="68">
        <v>76.400000000000006</v>
      </c>
      <c r="G61" s="66">
        <f t="shared" si="25"/>
        <v>33.28</v>
      </c>
      <c r="H61" s="66">
        <f t="shared" si="26"/>
        <v>69.045643153526967</v>
      </c>
      <c r="I61" s="67">
        <v>8</v>
      </c>
      <c r="J61" s="68">
        <v>76.8</v>
      </c>
      <c r="K61" s="66">
        <f t="shared" si="27"/>
        <v>11.36</v>
      </c>
      <c r="L61" s="67">
        <f t="shared" si="28"/>
        <v>100</v>
      </c>
      <c r="M61" s="66">
        <f t="shared" si="29"/>
        <v>23.568464730290451</v>
      </c>
      <c r="N61" s="66">
        <f t="shared" si="30"/>
        <v>45.477178423236516</v>
      </c>
      <c r="O61" s="66">
        <f t="shared" si="31"/>
        <v>30.954356846473033</v>
      </c>
      <c r="P61" s="68" t="s">
        <v>362</v>
      </c>
    </row>
    <row r="62" spans="1:16" ht="15.75" x14ac:dyDescent="0.25">
      <c r="A62" s="75">
        <v>44321</v>
      </c>
      <c r="B62" s="82" t="s">
        <v>339</v>
      </c>
      <c r="C62" s="79">
        <v>5</v>
      </c>
      <c r="D62" s="65">
        <f t="shared" si="24"/>
        <v>2.1052631578947367</v>
      </c>
      <c r="E62" s="68">
        <v>37</v>
      </c>
      <c r="F62" s="68">
        <v>77.400000000000006</v>
      </c>
      <c r="G62" s="66">
        <f t="shared" si="25"/>
        <v>40.480000000000004</v>
      </c>
      <c r="H62" s="66">
        <f t="shared" si="26"/>
        <v>85.221052631578956</v>
      </c>
      <c r="I62" s="67">
        <v>16</v>
      </c>
      <c r="J62" s="68">
        <v>77.400000000000006</v>
      </c>
      <c r="K62" s="66">
        <f t="shared" si="27"/>
        <v>19.48</v>
      </c>
      <c r="L62" s="67">
        <f t="shared" si="28"/>
        <v>100</v>
      </c>
      <c r="M62" s="66">
        <f t="shared" si="29"/>
        <v>41.01052631578947</v>
      </c>
      <c r="N62" s="66">
        <f t="shared" si="30"/>
        <v>44.210526315789487</v>
      </c>
      <c r="O62" s="66">
        <f t="shared" si="31"/>
        <v>14.778947368421044</v>
      </c>
      <c r="P62" s="68" t="s">
        <v>369</v>
      </c>
    </row>
    <row r="63" spans="1:16" ht="15.75" x14ac:dyDescent="0.25">
      <c r="A63" s="75">
        <v>44321</v>
      </c>
      <c r="B63" s="82" t="s">
        <v>340</v>
      </c>
      <c r="C63" s="79">
        <v>3.2000000000000028</v>
      </c>
      <c r="D63" s="65">
        <f t="shared" si="24"/>
        <v>2.0661157024793391</v>
      </c>
      <c r="E63" s="68">
        <v>13</v>
      </c>
      <c r="F63" s="68">
        <v>76.7</v>
      </c>
      <c r="G63" s="66">
        <f t="shared" si="25"/>
        <v>16.34</v>
      </c>
      <c r="H63" s="66">
        <f t="shared" si="26"/>
        <v>33.760330578512402</v>
      </c>
      <c r="I63" s="67">
        <v>5</v>
      </c>
      <c r="J63" s="68">
        <v>77</v>
      </c>
      <c r="K63" s="66">
        <f t="shared" si="27"/>
        <v>8.4</v>
      </c>
      <c r="L63" s="67">
        <f t="shared" si="28"/>
        <v>100</v>
      </c>
      <c r="M63" s="66">
        <f t="shared" si="29"/>
        <v>17.355371900826448</v>
      </c>
      <c r="N63" s="66">
        <f t="shared" si="30"/>
        <v>16.404958677685954</v>
      </c>
      <c r="O63" s="66">
        <f t="shared" si="31"/>
        <v>66.239669421487605</v>
      </c>
      <c r="P63" s="68" t="s">
        <v>360</v>
      </c>
    </row>
    <row r="64" spans="1:16" ht="15.75" x14ac:dyDescent="0.25">
      <c r="A64" s="75">
        <v>44321</v>
      </c>
      <c r="B64" s="82" t="s">
        <v>341</v>
      </c>
      <c r="C64" s="79">
        <v>3.2000000000000028</v>
      </c>
      <c r="D64" s="65">
        <f t="shared" ref="D64:D77" si="32">+(200/(100-C64))</f>
        <v>2.0661157024793391</v>
      </c>
      <c r="E64" s="68">
        <v>23</v>
      </c>
      <c r="F64" s="68">
        <v>77.3</v>
      </c>
      <c r="G64" s="66">
        <f t="shared" ref="G64:G77" si="33">+((F64-60)*0.2+(E64))</f>
        <v>26.46</v>
      </c>
      <c r="H64" s="66">
        <f t="shared" ref="H64:H77" si="34">+(G64*D64)</f>
        <v>54.669421487603316</v>
      </c>
      <c r="I64" s="67">
        <v>8</v>
      </c>
      <c r="J64" s="68">
        <v>77.3</v>
      </c>
      <c r="K64" s="66">
        <f t="shared" ref="K64:K77" si="35">+((J64-60)*0.2+(I64))</f>
        <v>11.459999999999999</v>
      </c>
      <c r="L64" s="67">
        <f t="shared" ref="L64:L77" si="36">+(M64+N64+O64)</f>
        <v>100</v>
      </c>
      <c r="M64" s="66">
        <f t="shared" ref="M64:M77" si="37">+(K64*D64)</f>
        <v>23.677685950413224</v>
      </c>
      <c r="N64" s="66">
        <f t="shared" ref="N64:N77" si="38">+(H64-M64)</f>
        <v>30.991735537190092</v>
      </c>
      <c r="O64" s="66">
        <f t="shared" ref="O64:O77" si="39">+(100-H64)</f>
        <v>45.330578512396684</v>
      </c>
      <c r="P64" s="68" t="s">
        <v>362</v>
      </c>
    </row>
    <row r="65" spans="1:16" ht="15.75" x14ac:dyDescent="0.25">
      <c r="A65" s="75">
        <v>44321</v>
      </c>
      <c r="B65" s="78" t="s">
        <v>16</v>
      </c>
      <c r="C65" s="79">
        <v>2.8000000000000114</v>
      </c>
      <c r="D65" s="65">
        <f t="shared" si="32"/>
        <v>2.0576131687242802</v>
      </c>
      <c r="E65" s="68">
        <v>21</v>
      </c>
      <c r="F65" s="68">
        <v>76.3</v>
      </c>
      <c r="G65" s="66">
        <f t="shared" si="33"/>
        <v>24.259999999999998</v>
      </c>
      <c r="H65" s="66">
        <f t="shared" si="34"/>
        <v>49.917695473251037</v>
      </c>
      <c r="I65" s="67">
        <v>4</v>
      </c>
      <c r="J65" s="68">
        <v>77.099999999999994</v>
      </c>
      <c r="K65" s="66">
        <f t="shared" si="35"/>
        <v>7.419999999999999</v>
      </c>
      <c r="L65" s="67">
        <f t="shared" si="36"/>
        <v>100</v>
      </c>
      <c r="M65" s="66">
        <f t="shared" si="37"/>
        <v>15.267489711934157</v>
      </c>
      <c r="N65" s="66">
        <f t="shared" si="38"/>
        <v>34.650205761316883</v>
      </c>
      <c r="O65" s="66">
        <f t="shared" si="39"/>
        <v>50.082304526748963</v>
      </c>
      <c r="P65" s="81" t="s">
        <v>362</v>
      </c>
    </row>
    <row r="66" spans="1:16" ht="15.75" x14ac:dyDescent="0.25">
      <c r="A66" s="64" t="s">
        <v>3</v>
      </c>
      <c r="B66" s="64" t="s">
        <v>346</v>
      </c>
      <c r="C66" s="64" t="s">
        <v>347</v>
      </c>
      <c r="D66" s="64" t="s">
        <v>348</v>
      </c>
      <c r="E66" s="64" t="s">
        <v>349</v>
      </c>
      <c r="F66" s="64" t="s">
        <v>350</v>
      </c>
      <c r="G66" s="64" t="s">
        <v>351</v>
      </c>
      <c r="H66" s="64" t="s">
        <v>352</v>
      </c>
      <c r="I66" s="64" t="s">
        <v>353</v>
      </c>
      <c r="J66" s="64" t="s">
        <v>354</v>
      </c>
      <c r="K66" s="64" t="s">
        <v>351</v>
      </c>
      <c r="L66" s="64" t="s">
        <v>355</v>
      </c>
      <c r="M66" s="64" t="s">
        <v>356</v>
      </c>
      <c r="N66" s="64" t="s">
        <v>357</v>
      </c>
      <c r="O66" s="64" t="s">
        <v>358</v>
      </c>
      <c r="P66" s="64" t="s">
        <v>359</v>
      </c>
    </row>
    <row r="67" spans="1:16" ht="15.75" x14ac:dyDescent="0.25">
      <c r="A67" s="75">
        <v>44322</v>
      </c>
      <c r="B67" s="82" t="s">
        <v>342</v>
      </c>
      <c r="C67" s="79">
        <v>4.6000000000000085</v>
      </c>
      <c r="D67" s="65">
        <f t="shared" si="32"/>
        <v>2.0964360587002098</v>
      </c>
      <c r="E67" s="68">
        <v>35</v>
      </c>
      <c r="F67" s="68">
        <v>75.2</v>
      </c>
      <c r="G67" s="66">
        <f t="shared" si="33"/>
        <v>38.04</v>
      </c>
      <c r="H67" s="66">
        <f t="shared" si="34"/>
        <v>79.748427672955984</v>
      </c>
      <c r="I67" s="67">
        <v>15</v>
      </c>
      <c r="J67" s="68">
        <v>74.099999999999994</v>
      </c>
      <c r="K67" s="66">
        <f t="shared" si="35"/>
        <v>17.82</v>
      </c>
      <c r="L67" s="67">
        <f t="shared" si="36"/>
        <v>100</v>
      </c>
      <c r="M67" s="66">
        <f t="shared" si="37"/>
        <v>37.358490566037737</v>
      </c>
      <c r="N67" s="66">
        <f t="shared" si="38"/>
        <v>42.389937106918246</v>
      </c>
      <c r="O67" s="66">
        <f t="shared" si="39"/>
        <v>20.251572327044016</v>
      </c>
      <c r="P67" s="68" t="s">
        <v>365</v>
      </c>
    </row>
    <row r="68" spans="1:16" ht="15.75" x14ac:dyDescent="0.25">
      <c r="A68" s="75">
        <v>44322</v>
      </c>
      <c r="B68" s="82" t="s">
        <v>343</v>
      </c>
      <c r="C68" s="79">
        <v>3.2000000000000028</v>
      </c>
      <c r="D68" s="65">
        <f t="shared" si="32"/>
        <v>2.0661157024793391</v>
      </c>
      <c r="E68" s="68">
        <v>23</v>
      </c>
      <c r="F68" s="68">
        <v>74.599999999999994</v>
      </c>
      <c r="G68" s="66">
        <f t="shared" si="33"/>
        <v>25.919999999999998</v>
      </c>
      <c r="H68" s="66">
        <f t="shared" si="34"/>
        <v>53.553719008264466</v>
      </c>
      <c r="I68" s="67">
        <v>8</v>
      </c>
      <c r="J68" s="68">
        <v>74.2</v>
      </c>
      <c r="K68" s="66">
        <f t="shared" si="35"/>
        <v>10.84</v>
      </c>
      <c r="L68" s="67">
        <f t="shared" si="36"/>
        <v>100</v>
      </c>
      <c r="M68" s="66">
        <f t="shared" si="37"/>
        <v>22.396694214876035</v>
      </c>
      <c r="N68" s="66">
        <f t="shared" si="38"/>
        <v>31.15702479338843</v>
      </c>
      <c r="O68" s="66">
        <f t="shared" si="39"/>
        <v>46.446280991735534</v>
      </c>
      <c r="P68" s="68" t="s">
        <v>362</v>
      </c>
    </row>
    <row r="69" spans="1:16" ht="15.75" x14ac:dyDescent="0.25">
      <c r="A69" s="75">
        <v>44322</v>
      </c>
      <c r="B69" s="82" t="s">
        <v>344</v>
      </c>
      <c r="C69" s="79">
        <v>4.3999999999999773</v>
      </c>
      <c r="D69" s="65">
        <f t="shared" si="32"/>
        <v>2.0920502092050204</v>
      </c>
      <c r="E69" s="68">
        <v>22</v>
      </c>
      <c r="F69" s="68">
        <v>75.12</v>
      </c>
      <c r="G69" s="66">
        <f t="shared" si="33"/>
        <v>25.024000000000001</v>
      </c>
      <c r="H69" s="66">
        <f t="shared" si="34"/>
        <v>52.351464435146433</v>
      </c>
      <c r="I69" s="67">
        <v>16</v>
      </c>
      <c r="J69" s="68">
        <v>74.5</v>
      </c>
      <c r="K69" s="66">
        <f t="shared" si="35"/>
        <v>18.899999999999999</v>
      </c>
      <c r="L69" s="67">
        <f t="shared" si="36"/>
        <v>100</v>
      </c>
      <c r="M69" s="66">
        <f t="shared" si="37"/>
        <v>39.539748953974879</v>
      </c>
      <c r="N69" s="66">
        <f t="shared" si="38"/>
        <v>12.811715481171554</v>
      </c>
      <c r="O69" s="66">
        <f t="shared" si="39"/>
        <v>47.648535564853567</v>
      </c>
      <c r="P69" s="68" t="s">
        <v>370</v>
      </c>
    </row>
    <row r="70" spans="1:16" ht="15.75" x14ac:dyDescent="0.25">
      <c r="A70" s="75">
        <v>44322</v>
      </c>
      <c r="B70" s="82" t="s">
        <v>156</v>
      </c>
      <c r="C70" s="79">
        <v>9.7999999999999687</v>
      </c>
      <c r="D70" s="65">
        <f t="shared" si="32"/>
        <v>2.2172949002217286</v>
      </c>
      <c r="E70" s="68">
        <v>12</v>
      </c>
      <c r="F70" s="68">
        <v>74.400000000000006</v>
      </c>
      <c r="G70" s="66">
        <f t="shared" si="33"/>
        <v>14.88</v>
      </c>
      <c r="H70" s="66">
        <f t="shared" si="34"/>
        <v>32.993348115299327</v>
      </c>
      <c r="I70" s="67">
        <v>0</v>
      </c>
      <c r="J70" s="68">
        <v>74.599999999999994</v>
      </c>
      <c r="K70" s="66">
        <f t="shared" si="35"/>
        <v>2.919999999999999</v>
      </c>
      <c r="L70" s="67">
        <f t="shared" si="36"/>
        <v>100</v>
      </c>
      <c r="M70" s="66">
        <f t="shared" si="37"/>
        <v>6.4745011086474458</v>
      </c>
      <c r="N70" s="66">
        <f t="shared" si="38"/>
        <v>26.518847006651882</v>
      </c>
      <c r="O70" s="66">
        <f t="shared" si="39"/>
        <v>67.006651884700673</v>
      </c>
      <c r="P70" s="68" t="s">
        <v>360</v>
      </c>
    </row>
    <row r="71" spans="1:16" ht="15.75" x14ac:dyDescent="0.25">
      <c r="A71" s="75">
        <v>44322</v>
      </c>
      <c r="B71" s="82" t="s">
        <v>157</v>
      </c>
      <c r="C71" s="79">
        <v>5.6000000000000227</v>
      </c>
      <c r="D71" s="65">
        <f t="shared" si="32"/>
        <v>2.1186440677966107</v>
      </c>
      <c r="E71" s="68">
        <v>12</v>
      </c>
      <c r="F71" s="68">
        <v>73.900000000000006</v>
      </c>
      <c r="G71" s="66">
        <f t="shared" si="33"/>
        <v>14.780000000000001</v>
      </c>
      <c r="H71" s="66">
        <f t="shared" si="34"/>
        <v>31.31355932203391</v>
      </c>
      <c r="I71" s="67">
        <v>0</v>
      </c>
      <c r="J71" s="68">
        <v>74.599999999999994</v>
      </c>
      <c r="K71" s="66">
        <f t="shared" si="35"/>
        <v>2.919999999999999</v>
      </c>
      <c r="L71" s="67">
        <f t="shared" si="36"/>
        <v>100</v>
      </c>
      <c r="M71" s="66">
        <f t="shared" si="37"/>
        <v>6.1864406779661012</v>
      </c>
      <c r="N71" s="66">
        <f t="shared" si="38"/>
        <v>25.12711864406781</v>
      </c>
      <c r="O71" s="66">
        <f t="shared" si="39"/>
        <v>68.68644067796609</v>
      </c>
      <c r="P71" s="68" t="s">
        <v>360</v>
      </c>
    </row>
    <row r="72" spans="1:16" ht="15.75" x14ac:dyDescent="0.25">
      <c r="A72" s="75">
        <v>44322</v>
      </c>
      <c r="B72" s="82" t="s">
        <v>158</v>
      </c>
      <c r="C72" s="79">
        <v>5</v>
      </c>
      <c r="D72" s="65">
        <f t="shared" si="32"/>
        <v>2.1052631578947367</v>
      </c>
      <c r="E72" s="68">
        <v>18</v>
      </c>
      <c r="F72" s="68">
        <v>73.7</v>
      </c>
      <c r="G72" s="66">
        <f t="shared" si="33"/>
        <v>20.740000000000002</v>
      </c>
      <c r="H72" s="66">
        <f t="shared" si="34"/>
        <v>43.663157894736841</v>
      </c>
      <c r="I72" s="67">
        <v>1</v>
      </c>
      <c r="J72" s="68">
        <v>74.2</v>
      </c>
      <c r="K72" s="66">
        <f t="shared" si="35"/>
        <v>3.8400000000000007</v>
      </c>
      <c r="L72" s="67">
        <f t="shared" si="36"/>
        <v>100</v>
      </c>
      <c r="M72" s="66">
        <f t="shared" si="37"/>
        <v>8.0842105263157897</v>
      </c>
      <c r="N72" s="66">
        <f t="shared" si="38"/>
        <v>35.578947368421055</v>
      </c>
      <c r="O72" s="66">
        <f t="shared" si="39"/>
        <v>56.336842105263159</v>
      </c>
      <c r="P72" s="68" t="s">
        <v>360</v>
      </c>
    </row>
    <row r="73" spans="1:16" ht="15.75" x14ac:dyDescent="0.25">
      <c r="A73" s="75">
        <v>44322</v>
      </c>
      <c r="B73" s="82" t="s">
        <v>159</v>
      </c>
      <c r="C73" s="79">
        <v>7.9999999999999716</v>
      </c>
      <c r="D73" s="65">
        <f t="shared" si="32"/>
        <v>2.1739130434782603</v>
      </c>
      <c r="E73" s="68">
        <v>20</v>
      </c>
      <c r="F73" s="68">
        <v>76.400000000000006</v>
      </c>
      <c r="G73" s="66">
        <f t="shared" si="33"/>
        <v>23.28</v>
      </c>
      <c r="H73" s="66">
        <f t="shared" si="34"/>
        <v>50.6086956521739</v>
      </c>
      <c r="I73" s="67">
        <v>1</v>
      </c>
      <c r="J73" s="68">
        <v>75</v>
      </c>
      <c r="K73" s="66">
        <f t="shared" si="35"/>
        <v>4</v>
      </c>
      <c r="L73" s="67">
        <f t="shared" si="36"/>
        <v>100</v>
      </c>
      <c r="M73" s="66">
        <f t="shared" si="37"/>
        <v>8.6956521739130412</v>
      </c>
      <c r="N73" s="66">
        <f t="shared" si="38"/>
        <v>41.91304347826086</v>
      </c>
      <c r="O73" s="66">
        <f t="shared" si="39"/>
        <v>49.3913043478261</v>
      </c>
      <c r="P73" s="68" t="s">
        <v>362</v>
      </c>
    </row>
    <row r="74" spans="1:16" ht="15.75" x14ac:dyDescent="0.25">
      <c r="A74" s="75">
        <v>44322</v>
      </c>
      <c r="B74" s="82" t="s">
        <v>160</v>
      </c>
      <c r="C74" s="79">
        <v>6.4000000000000057</v>
      </c>
      <c r="D74" s="65">
        <f t="shared" si="32"/>
        <v>2.1367521367521367</v>
      </c>
      <c r="E74" s="68">
        <v>10</v>
      </c>
      <c r="F74" s="68">
        <v>76.400000000000006</v>
      </c>
      <c r="G74" s="66">
        <f t="shared" si="33"/>
        <v>13.280000000000001</v>
      </c>
      <c r="H74" s="66">
        <f t="shared" si="34"/>
        <v>28.376068376068378</v>
      </c>
      <c r="I74" s="67">
        <v>0</v>
      </c>
      <c r="J74" s="68">
        <v>75</v>
      </c>
      <c r="K74" s="66">
        <f t="shared" si="35"/>
        <v>3</v>
      </c>
      <c r="L74" s="67">
        <f t="shared" si="36"/>
        <v>100</v>
      </c>
      <c r="M74" s="66">
        <f t="shared" si="37"/>
        <v>6.4102564102564106</v>
      </c>
      <c r="N74" s="66">
        <f t="shared" si="38"/>
        <v>21.965811965811966</v>
      </c>
      <c r="O74" s="66">
        <f t="shared" si="39"/>
        <v>71.623931623931625</v>
      </c>
      <c r="P74" s="68" t="s">
        <v>360</v>
      </c>
    </row>
    <row r="75" spans="1:16" ht="15.75" x14ac:dyDescent="0.25">
      <c r="A75" s="75">
        <v>44322</v>
      </c>
      <c r="B75" s="82" t="s">
        <v>161</v>
      </c>
      <c r="C75" s="79">
        <v>8.4000000000000341</v>
      </c>
      <c r="D75" s="65">
        <f t="shared" si="32"/>
        <v>2.1834061135371186</v>
      </c>
      <c r="E75" s="68">
        <v>15</v>
      </c>
      <c r="F75" s="68">
        <v>76.7</v>
      </c>
      <c r="G75" s="66">
        <f t="shared" si="33"/>
        <v>18.34</v>
      </c>
      <c r="H75" s="66">
        <f t="shared" si="34"/>
        <v>40.043668122270752</v>
      </c>
      <c r="I75" s="67">
        <v>1</v>
      </c>
      <c r="J75" s="68">
        <v>75.099999999999994</v>
      </c>
      <c r="K75" s="66">
        <f t="shared" si="35"/>
        <v>4.0199999999999996</v>
      </c>
      <c r="L75" s="67">
        <f t="shared" si="36"/>
        <v>100</v>
      </c>
      <c r="M75" s="66">
        <f t="shared" si="37"/>
        <v>8.7772925764192156</v>
      </c>
      <c r="N75" s="66">
        <f t="shared" si="38"/>
        <v>31.266375545851538</v>
      </c>
      <c r="O75" s="66">
        <f t="shared" si="39"/>
        <v>59.956331877729248</v>
      </c>
      <c r="P75" s="68" t="s">
        <v>360</v>
      </c>
    </row>
    <row r="76" spans="1:16" ht="15.75" x14ac:dyDescent="0.25">
      <c r="A76" s="75">
        <v>44322</v>
      </c>
      <c r="B76" s="82" t="s">
        <v>162</v>
      </c>
      <c r="C76" s="79">
        <v>3.5999999999999943</v>
      </c>
      <c r="D76" s="65">
        <f t="shared" si="32"/>
        <v>2.0746887966804977</v>
      </c>
      <c r="E76" s="68">
        <v>20</v>
      </c>
      <c r="F76" s="68">
        <v>75.7</v>
      </c>
      <c r="G76" s="66">
        <f t="shared" si="33"/>
        <v>23.14</v>
      </c>
      <c r="H76" s="66">
        <f t="shared" si="34"/>
        <v>48.008298755186715</v>
      </c>
      <c r="I76" s="67">
        <v>5</v>
      </c>
      <c r="J76" s="68">
        <v>74.900000000000006</v>
      </c>
      <c r="K76" s="66">
        <f t="shared" si="35"/>
        <v>7.9800000000000013</v>
      </c>
      <c r="L76" s="67">
        <f t="shared" si="36"/>
        <v>100</v>
      </c>
      <c r="M76" s="66">
        <f t="shared" si="37"/>
        <v>16.556016597510375</v>
      </c>
      <c r="N76" s="66">
        <f t="shared" si="38"/>
        <v>31.45228215767634</v>
      </c>
      <c r="O76" s="66">
        <f t="shared" si="39"/>
        <v>51.991701244813285</v>
      </c>
      <c r="P76" s="68" t="s">
        <v>362</v>
      </c>
    </row>
    <row r="77" spans="1:16" ht="15.75" x14ac:dyDescent="0.25">
      <c r="A77" s="75">
        <v>44322</v>
      </c>
      <c r="B77" s="82" t="s">
        <v>163</v>
      </c>
      <c r="C77" s="79">
        <v>0.19999999999996021</v>
      </c>
      <c r="D77" s="65">
        <f t="shared" si="32"/>
        <v>2.0040080160320635</v>
      </c>
      <c r="E77" s="68">
        <v>0</v>
      </c>
      <c r="F77" s="68">
        <v>75.2</v>
      </c>
      <c r="G77" s="66">
        <f t="shared" si="33"/>
        <v>3.0400000000000009</v>
      </c>
      <c r="H77" s="66">
        <f t="shared" si="34"/>
        <v>6.0921843687374748</v>
      </c>
      <c r="I77" s="67">
        <v>-1</v>
      </c>
      <c r="J77" s="68">
        <v>74.8</v>
      </c>
      <c r="K77" s="66">
        <f t="shared" si="35"/>
        <v>1.9599999999999995</v>
      </c>
      <c r="L77" s="67">
        <f t="shared" si="36"/>
        <v>100</v>
      </c>
      <c r="M77" s="66">
        <f t="shared" si="37"/>
        <v>3.9278557114228434</v>
      </c>
      <c r="N77" s="66">
        <f t="shared" si="38"/>
        <v>2.1643286573146314</v>
      </c>
      <c r="O77" s="66">
        <f t="shared" si="39"/>
        <v>93.907815631262523</v>
      </c>
      <c r="P77" s="68" t="s">
        <v>371</v>
      </c>
    </row>
    <row r="78" spans="1:16" ht="15.75" x14ac:dyDescent="0.25">
      <c r="A78" s="75">
        <v>44322</v>
      </c>
      <c r="B78" s="82" t="s">
        <v>164</v>
      </c>
      <c r="C78" s="79">
        <v>0.20000000000003126</v>
      </c>
      <c r="D78" s="65">
        <f t="shared" ref="D78:D79" si="40">+(200/(100-C78))</f>
        <v>2.0040080160320648</v>
      </c>
      <c r="E78" s="68">
        <v>0</v>
      </c>
      <c r="F78" s="68">
        <v>75.3</v>
      </c>
      <c r="G78" s="66">
        <f t="shared" ref="G78:G79" si="41">+((F78-60)*0.2+(E78))</f>
        <v>3.0599999999999996</v>
      </c>
      <c r="H78" s="66">
        <f t="shared" ref="H78:H79" si="42">+(G78*D78)</f>
        <v>6.1322645290581175</v>
      </c>
      <c r="I78" s="67">
        <v>-1</v>
      </c>
      <c r="J78" s="68">
        <v>75</v>
      </c>
      <c r="K78" s="66">
        <f t="shared" ref="K78:K79" si="43">+((J78-60)*0.2+(I78))</f>
        <v>2</v>
      </c>
      <c r="L78" s="67">
        <f t="shared" ref="L78:L79" si="44">+(M78+N78+O78)</f>
        <v>100</v>
      </c>
      <c r="M78" s="66">
        <f t="shared" ref="M78:M79" si="45">+(K78*D78)</f>
        <v>4.0080160320641296</v>
      </c>
      <c r="N78" s="66">
        <f t="shared" ref="N78:N79" si="46">+(H78-M78)</f>
        <v>2.1242484969939879</v>
      </c>
      <c r="O78" s="66">
        <f t="shared" ref="O78:O79" si="47">+(100-H78)</f>
        <v>93.867735470941881</v>
      </c>
      <c r="P78" s="68" t="s">
        <v>371</v>
      </c>
    </row>
    <row r="79" spans="1:16" ht="15.75" x14ac:dyDescent="0.25">
      <c r="A79" s="75">
        <v>44322</v>
      </c>
      <c r="B79" s="82" t="s">
        <v>165</v>
      </c>
      <c r="C79" s="79">
        <v>0.39999999999999147</v>
      </c>
      <c r="D79" s="65">
        <f t="shared" si="40"/>
        <v>2.0080321285140559</v>
      </c>
      <c r="E79" s="68">
        <v>0</v>
      </c>
      <c r="F79" s="68">
        <v>77.2</v>
      </c>
      <c r="G79" s="66">
        <f t="shared" si="41"/>
        <v>3.4400000000000008</v>
      </c>
      <c r="H79" s="66">
        <f t="shared" si="42"/>
        <v>6.907630522088354</v>
      </c>
      <c r="I79" s="67">
        <v>-1</v>
      </c>
      <c r="J79" s="68">
        <v>75.7</v>
      </c>
      <c r="K79" s="66">
        <f t="shared" si="43"/>
        <v>2.1400000000000006</v>
      </c>
      <c r="L79" s="67">
        <f t="shared" si="44"/>
        <v>100</v>
      </c>
      <c r="M79" s="66">
        <f t="shared" si="45"/>
        <v>4.2971887550200805</v>
      </c>
      <c r="N79" s="66">
        <f t="shared" si="46"/>
        <v>2.6104417670682736</v>
      </c>
      <c r="O79" s="66">
        <f t="shared" si="47"/>
        <v>93.092369477911646</v>
      </c>
      <c r="P79" s="68" t="s">
        <v>371</v>
      </c>
    </row>
    <row r="80" spans="1:16" ht="15.75" x14ac:dyDescent="0.25">
      <c r="A80" s="75">
        <v>44322</v>
      </c>
      <c r="B80" s="82" t="s">
        <v>166</v>
      </c>
      <c r="C80" s="79">
        <v>0.20000000000003126</v>
      </c>
      <c r="D80" s="65">
        <f t="shared" ref="D80:D143" si="48">+(200/(100-C80))</f>
        <v>2.0040080160320648</v>
      </c>
      <c r="E80" s="68">
        <v>0</v>
      </c>
      <c r="F80" s="68">
        <v>76.5</v>
      </c>
      <c r="G80" s="66">
        <f t="shared" ref="G80:G143" si="49">+((F80-60)*0.2+(E80))</f>
        <v>3.3000000000000003</v>
      </c>
      <c r="H80" s="66">
        <f t="shared" ref="H80:H143" si="50">+(G80*D80)</f>
        <v>6.6132264529058142</v>
      </c>
      <c r="I80" s="67">
        <v>-1</v>
      </c>
      <c r="J80" s="68">
        <v>75.5</v>
      </c>
      <c r="K80" s="66">
        <f t="shared" ref="K80:K143" si="51">+((J80-60)*0.2+(I80))</f>
        <v>2.1</v>
      </c>
      <c r="L80" s="67">
        <f t="shared" ref="L80:L143" si="52">+(M80+N80+O80)</f>
        <v>100</v>
      </c>
      <c r="M80" s="66">
        <f t="shared" ref="M80:M143" si="53">+(K80*D80)</f>
        <v>4.2084168336673367</v>
      </c>
      <c r="N80" s="66">
        <f t="shared" ref="N80:N143" si="54">+(H80-M80)</f>
        <v>2.4048096192384776</v>
      </c>
      <c r="O80" s="66">
        <f t="shared" ref="O80:O143" si="55">+(100-H80)</f>
        <v>93.38677354709418</v>
      </c>
      <c r="P80" s="68" t="s">
        <v>371</v>
      </c>
    </row>
    <row r="81" spans="1:16" ht="15.75" x14ac:dyDescent="0.25">
      <c r="A81" s="75">
        <v>44322</v>
      </c>
      <c r="B81" s="82" t="s">
        <v>167</v>
      </c>
      <c r="C81" s="79">
        <v>0.20000000000003126</v>
      </c>
      <c r="D81" s="65">
        <f t="shared" si="48"/>
        <v>2.0040080160320648</v>
      </c>
      <c r="E81" s="68">
        <v>0</v>
      </c>
      <c r="F81" s="68">
        <v>76.400000000000006</v>
      </c>
      <c r="G81" s="66">
        <f t="shared" si="49"/>
        <v>3.2800000000000011</v>
      </c>
      <c r="H81" s="66">
        <f t="shared" si="50"/>
        <v>6.5731462925851751</v>
      </c>
      <c r="I81" s="67">
        <v>-1</v>
      </c>
      <c r="J81" s="68">
        <v>75.5</v>
      </c>
      <c r="K81" s="66">
        <f t="shared" si="51"/>
        <v>2.1</v>
      </c>
      <c r="L81" s="67">
        <f t="shared" si="52"/>
        <v>100</v>
      </c>
      <c r="M81" s="66">
        <f t="shared" si="53"/>
        <v>4.2084168336673367</v>
      </c>
      <c r="N81" s="66">
        <f t="shared" si="54"/>
        <v>2.3647294589178385</v>
      </c>
      <c r="O81" s="66">
        <f t="shared" si="55"/>
        <v>93.426853707414821</v>
      </c>
      <c r="P81" s="68" t="s">
        <v>371</v>
      </c>
    </row>
    <row r="82" spans="1:16" ht="15.75" x14ac:dyDescent="0.25">
      <c r="A82" s="75">
        <v>44322</v>
      </c>
      <c r="B82" s="78" t="s">
        <v>16</v>
      </c>
      <c r="C82" s="79">
        <v>2.8000000000000114</v>
      </c>
      <c r="D82" s="65">
        <f t="shared" si="48"/>
        <v>2.0576131687242802</v>
      </c>
      <c r="E82" s="68">
        <v>21</v>
      </c>
      <c r="F82" s="68">
        <v>75.3</v>
      </c>
      <c r="G82" s="66">
        <f t="shared" si="49"/>
        <v>24.06</v>
      </c>
      <c r="H82" s="66">
        <f t="shared" si="50"/>
        <v>49.506172839506178</v>
      </c>
      <c r="I82" s="67">
        <v>5</v>
      </c>
      <c r="J82" s="68">
        <v>75.400000000000006</v>
      </c>
      <c r="K82" s="66">
        <f t="shared" si="51"/>
        <v>8.0800000000000018</v>
      </c>
      <c r="L82" s="67">
        <f t="shared" si="52"/>
        <v>100</v>
      </c>
      <c r="M82" s="66">
        <f t="shared" si="53"/>
        <v>16.62551440329219</v>
      </c>
      <c r="N82" s="66">
        <f t="shared" si="54"/>
        <v>32.880658436213992</v>
      </c>
      <c r="O82" s="66">
        <f t="shared" si="55"/>
        <v>50.493827160493822</v>
      </c>
      <c r="P82" s="81" t="s">
        <v>362</v>
      </c>
    </row>
    <row r="83" spans="1:16" ht="15.75" x14ac:dyDescent="0.25">
      <c r="A83" s="64" t="s">
        <v>3</v>
      </c>
      <c r="B83" s="64" t="s">
        <v>346</v>
      </c>
      <c r="C83" s="64" t="s">
        <v>347</v>
      </c>
      <c r="D83" s="64" t="s">
        <v>348</v>
      </c>
      <c r="E83" s="64" t="s">
        <v>349</v>
      </c>
      <c r="F83" s="64" t="s">
        <v>350</v>
      </c>
      <c r="G83" s="64" t="s">
        <v>351</v>
      </c>
      <c r="H83" s="64" t="s">
        <v>352</v>
      </c>
      <c r="I83" s="64" t="s">
        <v>353</v>
      </c>
      <c r="J83" s="64" t="s">
        <v>354</v>
      </c>
      <c r="K83" s="64" t="s">
        <v>351</v>
      </c>
      <c r="L83" s="64" t="s">
        <v>355</v>
      </c>
      <c r="M83" s="64" t="s">
        <v>356</v>
      </c>
      <c r="N83" s="64" t="s">
        <v>357</v>
      </c>
      <c r="O83" s="64" t="s">
        <v>358</v>
      </c>
      <c r="P83" s="64" t="s">
        <v>359</v>
      </c>
    </row>
    <row r="84" spans="1:16" ht="15.75" x14ac:dyDescent="0.25">
      <c r="A84" s="75"/>
      <c r="B84" s="78"/>
      <c r="C84" s="79"/>
      <c r="D84" s="65">
        <f t="shared" si="48"/>
        <v>2</v>
      </c>
      <c r="E84" s="68"/>
      <c r="F84" s="68"/>
      <c r="G84" s="66">
        <f t="shared" si="49"/>
        <v>-12</v>
      </c>
      <c r="H84" s="66">
        <f t="shared" si="50"/>
        <v>-24</v>
      </c>
      <c r="I84" s="67"/>
      <c r="J84" s="68"/>
      <c r="K84" s="66">
        <f t="shared" si="51"/>
        <v>-12</v>
      </c>
      <c r="L84" s="67">
        <f t="shared" si="52"/>
        <v>100</v>
      </c>
      <c r="M84" s="66">
        <f t="shared" si="53"/>
        <v>-24</v>
      </c>
      <c r="N84" s="66">
        <f t="shared" si="54"/>
        <v>0</v>
      </c>
      <c r="O84" s="66">
        <f t="shared" si="55"/>
        <v>124</v>
      </c>
      <c r="P84" s="68"/>
    </row>
    <row r="85" spans="1:16" ht="15.75" x14ac:dyDescent="0.25">
      <c r="A85" s="75"/>
      <c r="B85" s="78"/>
      <c r="C85" s="79"/>
      <c r="D85" s="65">
        <f t="shared" si="48"/>
        <v>2</v>
      </c>
      <c r="E85" s="68"/>
      <c r="F85" s="68"/>
      <c r="G85" s="66">
        <f t="shared" si="49"/>
        <v>-12</v>
      </c>
      <c r="H85" s="66">
        <f t="shared" si="50"/>
        <v>-24</v>
      </c>
      <c r="I85" s="67"/>
      <c r="J85" s="68"/>
      <c r="K85" s="66">
        <f t="shared" si="51"/>
        <v>-12</v>
      </c>
      <c r="L85" s="67">
        <f t="shared" si="52"/>
        <v>100</v>
      </c>
      <c r="M85" s="66">
        <f t="shared" si="53"/>
        <v>-24</v>
      </c>
      <c r="N85" s="66">
        <f t="shared" si="54"/>
        <v>0</v>
      </c>
      <c r="O85" s="66">
        <f t="shared" si="55"/>
        <v>124</v>
      </c>
      <c r="P85" s="68"/>
    </row>
    <row r="86" spans="1:16" ht="15.75" x14ac:dyDescent="0.25">
      <c r="A86" s="75"/>
      <c r="B86" s="78"/>
      <c r="C86" s="79"/>
      <c r="D86" s="65">
        <f t="shared" si="48"/>
        <v>2</v>
      </c>
      <c r="E86" s="68"/>
      <c r="F86" s="68"/>
      <c r="G86" s="66">
        <f t="shared" si="49"/>
        <v>-12</v>
      </c>
      <c r="H86" s="66">
        <f t="shared" si="50"/>
        <v>-24</v>
      </c>
      <c r="I86" s="67"/>
      <c r="J86" s="68"/>
      <c r="K86" s="66">
        <f t="shared" si="51"/>
        <v>-12</v>
      </c>
      <c r="L86" s="67">
        <f t="shared" si="52"/>
        <v>100</v>
      </c>
      <c r="M86" s="66">
        <f t="shared" si="53"/>
        <v>-24</v>
      </c>
      <c r="N86" s="66">
        <f t="shared" si="54"/>
        <v>0</v>
      </c>
      <c r="O86" s="66">
        <f t="shared" si="55"/>
        <v>124</v>
      </c>
      <c r="P86" s="68"/>
    </row>
    <row r="87" spans="1:16" ht="15.75" x14ac:dyDescent="0.25">
      <c r="A87" s="75"/>
      <c r="B87" s="78"/>
      <c r="C87" s="79"/>
      <c r="D87" s="65">
        <f t="shared" si="48"/>
        <v>2</v>
      </c>
      <c r="E87" s="68"/>
      <c r="F87" s="68"/>
      <c r="G87" s="66">
        <f t="shared" si="49"/>
        <v>-12</v>
      </c>
      <c r="H87" s="66">
        <f t="shared" si="50"/>
        <v>-24</v>
      </c>
      <c r="I87" s="67"/>
      <c r="J87" s="68"/>
      <c r="K87" s="66">
        <f t="shared" si="51"/>
        <v>-12</v>
      </c>
      <c r="L87" s="67">
        <f t="shared" si="52"/>
        <v>100</v>
      </c>
      <c r="M87" s="66">
        <f t="shared" si="53"/>
        <v>-24</v>
      </c>
      <c r="N87" s="66">
        <f t="shared" si="54"/>
        <v>0</v>
      </c>
      <c r="O87" s="66">
        <f t="shared" si="55"/>
        <v>124</v>
      </c>
      <c r="P87" s="68"/>
    </row>
    <row r="88" spans="1:16" ht="15.75" x14ac:dyDescent="0.25">
      <c r="A88" s="75"/>
      <c r="B88" s="78"/>
      <c r="C88" s="79"/>
      <c r="D88" s="65">
        <f t="shared" si="48"/>
        <v>2</v>
      </c>
      <c r="E88" s="68"/>
      <c r="F88" s="68"/>
      <c r="G88" s="66">
        <f t="shared" si="49"/>
        <v>-12</v>
      </c>
      <c r="H88" s="66">
        <f t="shared" si="50"/>
        <v>-24</v>
      </c>
      <c r="I88" s="67"/>
      <c r="J88" s="68"/>
      <c r="K88" s="66">
        <f t="shared" si="51"/>
        <v>-12</v>
      </c>
      <c r="L88" s="67">
        <f t="shared" si="52"/>
        <v>100</v>
      </c>
      <c r="M88" s="66">
        <f t="shared" si="53"/>
        <v>-24</v>
      </c>
      <c r="N88" s="66">
        <f t="shared" si="54"/>
        <v>0</v>
      </c>
      <c r="O88" s="66">
        <f t="shared" si="55"/>
        <v>124</v>
      </c>
      <c r="P88" s="68"/>
    </row>
    <row r="89" spans="1:16" ht="15.75" x14ac:dyDescent="0.25">
      <c r="A89" s="75"/>
      <c r="B89" s="78"/>
      <c r="C89" s="79"/>
      <c r="D89" s="65">
        <f t="shared" si="48"/>
        <v>2</v>
      </c>
      <c r="E89" s="68"/>
      <c r="F89" s="68"/>
      <c r="G89" s="66">
        <f t="shared" si="49"/>
        <v>-12</v>
      </c>
      <c r="H89" s="66">
        <f t="shared" si="50"/>
        <v>-24</v>
      </c>
      <c r="I89" s="67"/>
      <c r="J89" s="68"/>
      <c r="K89" s="66">
        <f t="shared" si="51"/>
        <v>-12</v>
      </c>
      <c r="L89" s="67">
        <f t="shared" si="52"/>
        <v>100</v>
      </c>
      <c r="M89" s="66">
        <f t="shared" si="53"/>
        <v>-24</v>
      </c>
      <c r="N89" s="66">
        <f t="shared" si="54"/>
        <v>0</v>
      </c>
      <c r="O89" s="66">
        <f t="shared" si="55"/>
        <v>124</v>
      </c>
      <c r="P89" s="68"/>
    </row>
    <row r="90" spans="1:16" ht="15.75" x14ac:dyDescent="0.25">
      <c r="A90" s="75"/>
      <c r="B90" s="78"/>
      <c r="C90" s="79"/>
      <c r="D90" s="65">
        <f t="shared" si="48"/>
        <v>2</v>
      </c>
      <c r="E90" s="68"/>
      <c r="F90" s="68"/>
      <c r="G90" s="66">
        <f t="shared" si="49"/>
        <v>-12</v>
      </c>
      <c r="H90" s="66">
        <f t="shared" si="50"/>
        <v>-24</v>
      </c>
      <c r="I90" s="67"/>
      <c r="J90" s="68"/>
      <c r="K90" s="66">
        <f t="shared" si="51"/>
        <v>-12</v>
      </c>
      <c r="L90" s="67">
        <f t="shared" si="52"/>
        <v>100</v>
      </c>
      <c r="M90" s="66">
        <f t="shared" si="53"/>
        <v>-24</v>
      </c>
      <c r="N90" s="66">
        <f t="shared" si="54"/>
        <v>0</v>
      </c>
      <c r="O90" s="66">
        <f t="shared" si="55"/>
        <v>124</v>
      </c>
      <c r="P90" s="68"/>
    </row>
    <row r="91" spans="1:16" ht="15.75" x14ac:dyDescent="0.25">
      <c r="A91" s="75"/>
      <c r="B91" s="78"/>
      <c r="C91" s="79"/>
      <c r="D91" s="65">
        <f t="shared" si="48"/>
        <v>2</v>
      </c>
      <c r="E91" s="68"/>
      <c r="F91" s="68"/>
      <c r="G91" s="66">
        <f t="shared" si="49"/>
        <v>-12</v>
      </c>
      <c r="H91" s="66">
        <f t="shared" si="50"/>
        <v>-24</v>
      </c>
      <c r="I91" s="67"/>
      <c r="J91" s="68"/>
      <c r="K91" s="66">
        <f t="shared" si="51"/>
        <v>-12</v>
      </c>
      <c r="L91" s="67">
        <f t="shared" si="52"/>
        <v>100</v>
      </c>
      <c r="M91" s="66">
        <f t="shared" si="53"/>
        <v>-24</v>
      </c>
      <c r="N91" s="66">
        <f t="shared" si="54"/>
        <v>0</v>
      </c>
      <c r="O91" s="66">
        <f t="shared" si="55"/>
        <v>124</v>
      </c>
      <c r="P91" s="68"/>
    </row>
    <row r="92" spans="1:16" ht="15.75" x14ac:dyDescent="0.25">
      <c r="A92" s="75"/>
      <c r="B92" s="78"/>
      <c r="C92" s="79"/>
      <c r="D92" s="65">
        <f t="shared" si="48"/>
        <v>2</v>
      </c>
      <c r="E92" s="68"/>
      <c r="F92" s="68"/>
      <c r="G92" s="66">
        <f t="shared" si="49"/>
        <v>-12</v>
      </c>
      <c r="H92" s="66">
        <f t="shared" si="50"/>
        <v>-24</v>
      </c>
      <c r="I92" s="67"/>
      <c r="J92" s="68"/>
      <c r="K92" s="66">
        <f t="shared" si="51"/>
        <v>-12</v>
      </c>
      <c r="L92" s="67">
        <f t="shared" si="52"/>
        <v>100</v>
      </c>
      <c r="M92" s="66">
        <f t="shared" si="53"/>
        <v>-24</v>
      </c>
      <c r="N92" s="66">
        <f t="shared" si="54"/>
        <v>0</v>
      </c>
      <c r="O92" s="66">
        <f t="shared" si="55"/>
        <v>124</v>
      </c>
      <c r="P92" s="68"/>
    </row>
    <row r="93" spans="1:16" ht="15.75" x14ac:dyDescent="0.25">
      <c r="A93" s="75"/>
      <c r="B93" s="78"/>
      <c r="C93" s="79"/>
      <c r="D93" s="65">
        <f t="shared" si="48"/>
        <v>2</v>
      </c>
      <c r="E93" s="68"/>
      <c r="F93" s="68"/>
      <c r="G93" s="66">
        <f t="shared" si="49"/>
        <v>-12</v>
      </c>
      <c r="H93" s="66">
        <f t="shared" si="50"/>
        <v>-24</v>
      </c>
      <c r="I93" s="67"/>
      <c r="J93" s="68"/>
      <c r="K93" s="66">
        <f t="shared" si="51"/>
        <v>-12</v>
      </c>
      <c r="L93" s="67">
        <f t="shared" si="52"/>
        <v>100</v>
      </c>
      <c r="M93" s="66">
        <f t="shared" si="53"/>
        <v>-24</v>
      </c>
      <c r="N93" s="66">
        <f t="shared" si="54"/>
        <v>0</v>
      </c>
      <c r="O93" s="66">
        <f t="shared" si="55"/>
        <v>124</v>
      </c>
      <c r="P93" s="68"/>
    </row>
    <row r="94" spans="1:16" ht="15.75" x14ac:dyDescent="0.25">
      <c r="A94" s="75"/>
      <c r="B94" s="78"/>
      <c r="C94" s="79"/>
      <c r="D94" s="65">
        <f t="shared" si="48"/>
        <v>2</v>
      </c>
      <c r="E94" s="68"/>
      <c r="F94" s="68"/>
      <c r="G94" s="66">
        <f t="shared" si="49"/>
        <v>-12</v>
      </c>
      <c r="H94" s="66">
        <f t="shared" si="50"/>
        <v>-24</v>
      </c>
      <c r="I94" s="67"/>
      <c r="J94" s="68"/>
      <c r="K94" s="66">
        <f t="shared" si="51"/>
        <v>-12</v>
      </c>
      <c r="L94" s="67">
        <f t="shared" si="52"/>
        <v>100</v>
      </c>
      <c r="M94" s="66">
        <f t="shared" si="53"/>
        <v>-24</v>
      </c>
      <c r="N94" s="66">
        <f t="shared" si="54"/>
        <v>0</v>
      </c>
      <c r="O94" s="66">
        <f t="shared" si="55"/>
        <v>124</v>
      </c>
      <c r="P94" s="68"/>
    </row>
    <row r="95" spans="1:16" ht="15.75" x14ac:dyDescent="0.25">
      <c r="A95" s="75"/>
      <c r="B95" s="78"/>
      <c r="C95" s="79"/>
      <c r="D95" s="65">
        <f t="shared" si="48"/>
        <v>2</v>
      </c>
      <c r="E95" s="68"/>
      <c r="F95" s="68"/>
      <c r="G95" s="66">
        <f t="shared" si="49"/>
        <v>-12</v>
      </c>
      <c r="H95" s="66">
        <f t="shared" si="50"/>
        <v>-24</v>
      </c>
      <c r="I95" s="67"/>
      <c r="J95" s="68"/>
      <c r="K95" s="66">
        <f t="shared" si="51"/>
        <v>-12</v>
      </c>
      <c r="L95" s="67">
        <f t="shared" si="52"/>
        <v>100</v>
      </c>
      <c r="M95" s="66">
        <f t="shared" si="53"/>
        <v>-24</v>
      </c>
      <c r="N95" s="66">
        <f t="shared" si="54"/>
        <v>0</v>
      </c>
      <c r="O95" s="66">
        <f t="shared" si="55"/>
        <v>124</v>
      </c>
      <c r="P95" s="68"/>
    </row>
    <row r="96" spans="1:16" ht="15.75" x14ac:dyDescent="0.25">
      <c r="A96" s="75"/>
      <c r="B96" s="78"/>
      <c r="C96" s="79"/>
      <c r="D96" s="65">
        <f t="shared" si="48"/>
        <v>2</v>
      </c>
      <c r="E96" s="68"/>
      <c r="F96" s="68"/>
      <c r="G96" s="66">
        <f t="shared" si="49"/>
        <v>-12</v>
      </c>
      <c r="H96" s="66">
        <f t="shared" si="50"/>
        <v>-24</v>
      </c>
      <c r="I96" s="67"/>
      <c r="J96" s="68"/>
      <c r="K96" s="66">
        <f t="shared" si="51"/>
        <v>-12</v>
      </c>
      <c r="L96" s="67">
        <f t="shared" si="52"/>
        <v>100</v>
      </c>
      <c r="M96" s="66">
        <f t="shared" si="53"/>
        <v>-24</v>
      </c>
      <c r="N96" s="66">
        <f t="shared" si="54"/>
        <v>0</v>
      </c>
      <c r="O96" s="66">
        <f t="shared" si="55"/>
        <v>124</v>
      </c>
      <c r="P96" s="68"/>
    </row>
    <row r="97" spans="1:16" ht="15.75" x14ac:dyDescent="0.25">
      <c r="A97" s="75"/>
      <c r="B97" s="78"/>
      <c r="C97" s="79"/>
      <c r="D97" s="65">
        <f t="shared" si="48"/>
        <v>2</v>
      </c>
      <c r="E97" s="68"/>
      <c r="F97" s="68"/>
      <c r="G97" s="66">
        <f t="shared" si="49"/>
        <v>-12</v>
      </c>
      <c r="H97" s="66">
        <f t="shared" si="50"/>
        <v>-24</v>
      </c>
      <c r="I97" s="67"/>
      <c r="J97" s="68"/>
      <c r="K97" s="66">
        <f t="shared" si="51"/>
        <v>-12</v>
      </c>
      <c r="L97" s="67">
        <f t="shared" si="52"/>
        <v>100</v>
      </c>
      <c r="M97" s="66">
        <f t="shared" si="53"/>
        <v>-24</v>
      </c>
      <c r="N97" s="66">
        <f t="shared" si="54"/>
        <v>0</v>
      </c>
      <c r="O97" s="66">
        <f t="shared" si="55"/>
        <v>124</v>
      </c>
      <c r="P97" s="68"/>
    </row>
    <row r="98" spans="1:16" ht="15.75" x14ac:dyDescent="0.25">
      <c r="A98" s="75"/>
      <c r="B98" s="78"/>
      <c r="C98" s="79"/>
      <c r="D98" s="65">
        <f t="shared" si="48"/>
        <v>2</v>
      </c>
      <c r="E98" s="68"/>
      <c r="F98" s="68"/>
      <c r="G98" s="66">
        <f t="shared" si="49"/>
        <v>-12</v>
      </c>
      <c r="H98" s="66">
        <f t="shared" si="50"/>
        <v>-24</v>
      </c>
      <c r="I98" s="67"/>
      <c r="J98" s="68"/>
      <c r="K98" s="66">
        <f t="shared" si="51"/>
        <v>-12</v>
      </c>
      <c r="L98" s="67">
        <f t="shared" si="52"/>
        <v>100</v>
      </c>
      <c r="M98" s="66">
        <f t="shared" si="53"/>
        <v>-24</v>
      </c>
      <c r="N98" s="66">
        <f t="shared" si="54"/>
        <v>0</v>
      </c>
      <c r="O98" s="66">
        <f t="shared" si="55"/>
        <v>124</v>
      </c>
      <c r="P98" s="68"/>
    </row>
    <row r="99" spans="1:16" ht="15.75" x14ac:dyDescent="0.25">
      <c r="A99" s="75"/>
      <c r="B99" s="78"/>
      <c r="C99" s="79"/>
      <c r="D99" s="65">
        <f t="shared" si="48"/>
        <v>2</v>
      </c>
      <c r="E99" s="68"/>
      <c r="F99" s="68"/>
      <c r="G99" s="66">
        <f t="shared" si="49"/>
        <v>-12</v>
      </c>
      <c r="H99" s="66">
        <f t="shared" si="50"/>
        <v>-24</v>
      </c>
      <c r="I99" s="67"/>
      <c r="J99" s="68"/>
      <c r="K99" s="66">
        <f t="shared" si="51"/>
        <v>-12</v>
      </c>
      <c r="L99" s="67">
        <f t="shared" si="52"/>
        <v>100</v>
      </c>
      <c r="M99" s="66">
        <f t="shared" si="53"/>
        <v>-24</v>
      </c>
      <c r="N99" s="66">
        <f t="shared" si="54"/>
        <v>0</v>
      </c>
      <c r="O99" s="66">
        <f t="shared" si="55"/>
        <v>124</v>
      </c>
      <c r="P99" s="68"/>
    </row>
    <row r="100" spans="1:16" ht="15.75" x14ac:dyDescent="0.25">
      <c r="A100" s="75"/>
      <c r="B100" s="78"/>
      <c r="C100" s="79"/>
      <c r="D100" s="65">
        <f t="shared" si="48"/>
        <v>2</v>
      </c>
      <c r="E100" s="68"/>
      <c r="F100" s="68"/>
      <c r="G100" s="66">
        <f t="shared" si="49"/>
        <v>-12</v>
      </c>
      <c r="H100" s="66">
        <f t="shared" si="50"/>
        <v>-24</v>
      </c>
      <c r="I100" s="67"/>
      <c r="J100" s="68"/>
      <c r="K100" s="66">
        <f t="shared" si="51"/>
        <v>-12</v>
      </c>
      <c r="L100" s="67">
        <f t="shared" si="52"/>
        <v>100</v>
      </c>
      <c r="M100" s="66">
        <f t="shared" si="53"/>
        <v>-24</v>
      </c>
      <c r="N100" s="66">
        <f t="shared" si="54"/>
        <v>0</v>
      </c>
      <c r="O100" s="66">
        <f t="shared" si="55"/>
        <v>124</v>
      </c>
      <c r="P100" s="68"/>
    </row>
    <row r="101" spans="1:16" ht="15.75" x14ac:dyDescent="0.25">
      <c r="A101" s="75"/>
      <c r="B101" s="78"/>
      <c r="C101" s="79"/>
      <c r="D101" s="65">
        <f t="shared" si="48"/>
        <v>2</v>
      </c>
      <c r="E101" s="68"/>
      <c r="F101" s="68"/>
      <c r="G101" s="66">
        <f t="shared" si="49"/>
        <v>-12</v>
      </c>
      <c r="H101" s="66">
        <f t="shared" si="50"/>
        <v>-24</v>
      </c>
      <c r="I101" s="67"/>
      <c r="J101" s="68"/>
      <c r="K101" s="66">
        <f t="shared" si="51"/>
        <v>-12</v>
      </c>
      <c r="L101" s="67">
        <f t="shared" si="52"/>
        <v>100</v>
      </c>
      <c r="M101" s="66">
        <f t="shared" si="53"/>
        <v>-24</v>
      </c>
      <c r="N101" s="66">
        <f t="shared" si="54"/>
        <v>0</v>
      </c>
      <c r="O101" s="66">
        <f t="shared" si="55"/>
        <v>124</v>
      </c>
      <c r="P101" s="68"/>
    </row>
    <row r="102" spans="1:16" ht="15.75" x14ac:dyDescent="0.25">
      <c r="A102" s="75"/>
      <c r="B102" s="78"/>
      <c r="C102" s="79"/>
      <c r="D102" s="65">
        <f t="shared" si="48"/>
        <v>2</v>
      </c>
      <c r="E102" s="68"/>
      <c r="F102" s="68"/>
      <c r="G102" s="66">
        <f t="shared" si="49"/>
        <v>-12</v>
      </c>
      <c r="H102" s="66">
        <f t="shared" si="50"/>
        <v>-24</v>
      </c>
      <c r="I102" s="67"/>
      <c r="J102" s="68"/>
      <c r="K102" s="66">
        <f t="shared" si="51"/>
        <v>-12</v>
      </c>
      <c r="L102" s="67">
        <f t="shared" si="52"/>
        <v>100</v>
      </c>
      <c r="M102" s="66">
        <f t="shared" si="53"/>
        <v>-24</v>
      </c>
      <c r="N102" s="66">
        <f t="shared" si="54"/>
        <v>0</v>
      </c>
      <c r="O102" s="66">
        <f t="shared" si="55"/>
        <v>124</v>
      </c>
      <c r="P102" s="68"/>
    </row>
    <row r="103" spans="1:16" ht="15.75" x14ac:dyDescent="0.25">
      <c r="A103" s="75"/>
      <c r="B103" s="78"/>
      <c r="C103" s="79"/>
      <c r="D103" s="65">
        <f t="shared" si="48"/>
        <v>2</v>
      </c>
      <c r="E103" s="68"/>
      <c r="F103" s="68"/>
      <c r="G103" s="66">
        <f t="shared" si="49"/>
        <v>-12</v>
      </c>
      <c r="H103" s="66">
        <f t="shared" si="50"/>
        <v>-24</v>
      </c>
      <c r="I103" s="67"/>
      <c r="J103" s="68"/>
      <c r="K103" s="66">
        <f t="shared" si="51"/>
        <v>-12</v>
      </c>
      <c r="L103" s="67">
        <f t="shared" si="52"/>
        <v>100</v>
      </c>
      <c r="M103" s="66">
        <f t="shared" si="53"/>
        <v>-24</v>
      </c>
      <c r="N103" s="66">
        <f t="shared" si="54"/>
        <v>0</v>
      </c>
      <c r="O103" s="66">
        <f t="shared" si="55"/>
        <v>124</v>
      </c>
      <c r="P103" s="68"/>
    </row>
    <row r="104" spans="1:16" ht="15.75" x14ac:dyDescent="0.25">
      <c r="A104" s="75"/>
      <c r="B104" s="78"/>
      <c r="C104" s="79"/>
      <c r="D104" s="65">
        <f t="shared" si="48"/>
        <v>2</v>
      </c>
      <c r="E104" s="68"/>
      <c r="F104" s="68"/>
      <c r="G104" s="66">
        <f t="shared" si="49"/>
        <v>-12</v>
      </c>
      <c r="H104" s="66">
        <f t="shared" si="50"/>
        <v>-24</v>
      </c>
      <c r="I104" s="67"/>
      <c r="J104" s="68"/>
      <c r="K104" s="66">
        <f t="shared" si="51"/>
        <v>-12</v>
      </c>
      <c r="L104" s="67">
        <f t="shared" si="52"/>
        <v>100</v>
      </c>
      <c r="M104" s="66">
        <f t="shared" si="53"/>
        <v>-24</v>
      </c>
      <c r="N104" s="66">
        <f t="shared" si="54"/>
        <v>0</v>
      </c>
      <c r="O104" s="66">
        <f t="shared" si="55"/>
        <v>124</v>
      </c>
      <c r="P104" s="68"/>
    </row>
    <row r="105" spans="1:16" ht="15.75" x14ac:dyDescent="0.25">
      <c r="A105" s="75"/>
      <c r="B105" s="78"/>
      <c r="C105" s="79"/>
      <c r="D105" s="65">
        <f t="shared" si="48"/>
        <v>2</v>
      </c>
      <c r="E105" s="68"/>
      <c r="F105" s="68"/>
      <c r="G105" s="66">
        <f t="shared" si="49"/>
        <v>-12</v>
      </c>
      <c r="H105" s="66">
        <f t="shared" si="50"/>
        <v>-24</v>
      </c>
      <c r="I105" s="67"/>
      <c r="J105" s="68"/>
      <c r="K105" s="66">
        <f t="shared" si="51"/>
        <v>-12</v>
      </c>
      <c r="L105" s="67">
        <f t="shared" si="52"/>
        <v>100</v>
      </c>
      <c r="M105" s="66">
        <f t="shared" si="53"/>
        <v>-24</v>
      </c>
      <c r="N105" s="66">
        <f t="shared" si="54"/>
        <v>0</v>
      </c>
      <c r="O105" s="66">
        <f t="shared" si="55"/>
        <v>124</v>
      </c>
      <c r="P105" s="68"/>
    </row>
    <row r="106" spans="1:16" ht="15.75" x14ac:dyDescent="0.25">
      <c r="A106" s="75"/>
      <c r="B106" s="78"/>
      <c r="C106" s="79"/>
      <c r="D106" s="65">
        <f t="shared" si="48"/>
        <v>2</v>
      </c>
      <c r="E106" s="68"/>
      <c r="F106" s="68"/>
      <c r="G106" s="66">
        <f t="shared" si="49"/>
        <v>-12</v>
      </c>
      <c r="H106" s="66">
        <f t="shared" si="50"/>
        <v>-24</v>
      </c>
      <c r="I106" s="67"/>
      <c r="J106" s="68"/>
      <c r="K106" s="66">
        <f t="shared" si="51"/>
        <v>-12</v>
      </c>
      <c r="L106" s="67">
        <f t="shared" si="52"/>
        <v>100</v>
      </c>
      <c r="M106" s="66">
        <f t="shared" si="53"/>
        <v>-24</v>
      </c>
      <c r="N106" s="66">
        <f t="shared" si="54"/>
        <v>0</v>
      </c>
      <c r="O106" s="66">
        <f t="shared" si="55"/>
        <v>124</v>
      </c>
      <c r="P106" s="68"/>
    </row>
    <row r="107" spans="1:16" ht="15.75" x14ac:dyDescent="0.25">
      <c r="A107" s="75"/>
      <c r="B107" s="78"/>
      <c r="C107" s="79"/>
      <c r="D107" s="65">
        <f t="shared" si="48"/>
        <v>2</v>
      </c>
      <c r="E107" s="68"/>
      <c r="F107" s="68"/>
      <c r="G107" s="66">
        <f t="shared" si="49"/>
        <v>-12</v>
      </c>
      <c r="H107" s="66">
        <f t="shared" si="50"/>
        <v>-24</v>
      </c>
      <c r="I107" s="67"/>
      <c r="J107" s="68"/>
      <c r="K107" s="66">
        <f t="shared" si="51"/>
        <v>-12</v>
      </c>
      <c r="L107" s="67">
        <f t="shared" si="52"/>
        <v>100</v>
      </c>
      <c r="M107" s="66">
        <f t="shared" si="53"/>
        <v>-24</v>
      </c>
      <c r="N107" s="66">
        <f t="shared" si="54"/>
        <v>0</v>
      </c>
      <c r="O107" s="66">
        <f t="shared" si="55"/>
        <v>124</v>
      </c>
      <c r="P107" s="68"/>
    </row>
    <row r="108" spans="1:16" ht="15.75" x14ac:dyDescent="0.25">
      <c r="A108" s="75"/>
      <c r="B108" s="78"/>
      <c r="C108" s="79"/>
      <c r="D108" s="65">
        <f t="shared" si="48"/>
        <v>2</v>
      </c>
      <c r="E108" s="68"/>
      <c r="F108" s="68"/>
      <c r="G108" s="66">
        <f t="shared" si="49"/>
        <v>-12</v>
      </c>
      <c r="H108" s="66">
        <f t="shared" si="50"/>
        <v>-24</v>
      </c>
      <c r="I108" s="67"/>
      <c r="J108" s="68"/>
      <c r="K108" s="66">
        <f t="shared" si="51"/>
        <v>-12</v>
      </c>
      <c r="L108" s="67">
        <f t="shared" si="52"/>
        <v>100</v>
      </c>
      <c r="M108" s="66">
        <f t="shared" si="53"/>
        <v>-24</v>
      </c>
      <c r="N108" s="66">
        <f t="shared" si="54"/>
        <v>0</v>
      </c>
      <c r="O108" s="66">
        <f t="shared" si="55"/>
        <v>124</v>
      </c>
      <c r="P108" s="68"/>
    </row>
    <row r="109" spans="1:16" ht="15.75" x14ac:dyDescent="0.25">
      <c r="A109" s="75"/>
      <c r="B109" s="78"/>
      <c r="C109" s="79"/>
      <c r="D109" s="65">
        <f t="shared" si="48"/>
        <v>2</v>
      </c>
      <c r="E109" s="68"/>
      <c r="F109" s="68"/>
      <c r="G109" s="66">
        <f t="shared" si="49"/>
        <v>-12</v>
      </c>
      <c r="H109" s="66">
        <f t="shared" si="50"/>
        <v>-24</v>
      </c>
      <c r="I109" s="67"/>
      <c r="J109" s="68"/>
      <c r="K109" s="66">
        <f t="shared" si="51"/>
        <v>-12</v>
      </c>
      <c r="L109" s="67">
        <f t="shared" si="52"/>
        <v>100</v>
      </c>
      <c r="M109" s="66">
        <f t="shared" si="53"/>
        <v>-24</v>
      </c>
      <c r="N109" s="66">
        <f t="shared" si="54"/>
        <v>0</v>
      </c>
      <c r="O109" s="66">
        <f t="shared" si="55"/>
        <v>124</v>
      </c>
      <c r="P109" s="68"/>
    </row>
    <row r="110" spans="1:16" ht="15.75" x14ac:dyDescent="0.25">
      <c r="A110" s="75"/>
      <c r="B110" s="78"/>
      <c r="C110" s="79"/>
      <c r="D110" s="65">
        <f t="shared" si="48"/>
        <v>2</v>
      </c>
      <c r="E110" s="68"/>
      <c r="F110" s="68"/>
      <c r="G110" s="66">
        <f t="shared" si="49"/>
        <v>-12</v>
      </c>
      <c r="H110" s="66">
        <f t="shared" si="50"/>
        <v>-24</v>
      </c>
      <c r="I110" s="67"/>
      <c r="J110" s="68"/>
      <c r="K110" s="66">
        <f t="shared" si="51"/>
        <v>-12</v>
      </c>
      <c r="L110" s="67">
        <f t="shared" si="52"/>
        <v>100</v>
      </c>
      <c r="M110" s="66">
        <f t="shared" si="53"/>
        <v>-24</v>
      </c>
      <c r="N110" s="66">
        <f t="shared" si="54"/>
        <v>0</v>
      </c>
      <c r="O110" s="66">
        <f t="shared" si="55"/>
        <v>124</v>
      </c>
      <c r="P110" s="68"/>
    </row>
    <row r="111" spans="1:16" ht="15.75" x14ac:dyDescent="0.25">
      <c r="A111" s="75"/>
      <c r="B111" s="78"/>
      <c r="C111" s="79"/>
      <c r="D111" s="65">
        <f t="shared" si="48"/>
        <v>2</v>
      </c>
      <c r="E111" s="68"/>
      <c r="F111" s="68"/>
      <c r="G111" s="66">
        <f t="shared" si="49"/>
        <v>-12</v>
      </c>
      <c r="H111" s="66">
        <f t="shared" si="50"/>
        <v>-24</v>
      </c>
      <c r="I111" s="67"/>
      <c r="J111" s="68"/>
      <c r="K111" s="66">
        <f t="shared" si="51"/>
        <v>-12</v>
      </c>
      <c r="L111" s="67">
        <f t="shared" si="52"/>
        <v>100</v>
      </c>
      <c r="M111" s="66">
        <f t="shared" si="53"/>
        <v>-24</v>
      </c>
      <c r="N111" s="66">
        <f t="shared" si="54"/>
        <v>0</v>
      </c>
      <c r="O111" s="66">
        <f t="shared" si="55"/>
        <v>124</v>
      </c>
      <c r="P111" s="68"/>
    </row>
    <row r="112" spans="1:16" ht="15.75" x14ac:dyDescent="0.25">
      <c r="A112" s="75"/>
      <c r="B112" s="78"/>
      <c r="C112" s="79"/>
      <c r="D112" s="65">
        <f t="shared" si="48"/>
        <v>2</v>
      </c>
      <c r="E112" s="68"/>
      <c r="F112" s="68"/>
      <c r="G112" s="66">
        <f t="shared" si="49"/>
        <v>-12</v>
      </c>
      <c r="H112" s="66">
        <f t="shared" si="50"/>
        <v>-24</v>
      </c>
      <c r="I112" s="67"/>
      <c r="J112" s="68"/>
      <c r="K112" s="66">
        <f t="shared" si="51"/>
        <v>-12</v>
      </c>
      <c r="L112" s="67">
        <f t="shared" si="52"/>
        <v>100</v>
      </c>
      <c r="M112" s="66">
        <f t="shared" si="53"/>
        <v>-24</v>
      </c>
      <c r="N112" s="66">
        <f t="shared" si="54"/>
        <v>0</v>
      </c>
      <c r="O112" s="66">
        <f t="shared" si="55"/>
        <v>124</v>
      </c>
      <c r="P112" s="68"/>
    </row>
    <row r="113" spans="1:16" ht="15.75" x14ac:dyDescent="0.25">
      <c r="A113" s="75"/>
      <c r="B113" s="78"/>
      <c r="C113" s="79"/>
      <c r="D113" s="65">
        <f t="shared" si="48"/>
        <v>2</v>
      </c>
      <c r="E113" s="68"/>
      <c r="F113" s="68"/>
      <c r="G113" s="66">
        <f t="shared" si="49"/>
        <v>-12</v>
      </c>
      <c r="H113" s="66">
        <f t="shared" si="50"/>
        <v>-24</v>
      </c>
      <c r="I113" s="67"/>
      <c r="J113" s="68"/>
      <c r="K113" s="66">
        <f t="shared" si="51"/>
        <v>-12</v>
      </c>
      <c r="L113" s="67">
        <f t="shared" si="52"/>
        <v>100</v>
      </c>
      <c r="M113" s="66">
        <f t="shared" si="53"/>
        <v>-24</v>
      </c>
      <c r="N113" s="66">
        <f t="shared" si="54"/>
        <v>0</v>
      </c>
      <c r="O113" s="66">
        <f t="shared" si="55"/>
        <v>124</v>
      </c>
      <c r="P113" s="68"/>
    </row>
    <row r="114" spans="1:16" ht="15.75" x14ac:dyDescent="0.25">
      <c r="A114" s="75"/>
      <c r="B114" s="78"/>
      <c r="C114" s="79"/>
      <c r="D114" s="65">
        <f t="shared" si="48"/>
        <v>2</v>
      </c>
      <c r="E114" s="68"/>
      <c r="F114" s="68"/>
      <c r="G114" s="66">
        <f t="shared" si="49"/>
        <v>-12</v>
      </c>
      <c r="H114" s="66">
        <f t="shared" si="50"/>
        <v>-24</v>
      </c>
      <c r="I114" s="67"/>
      <c r="J114" s="68"/>
      <c r="K114" s="66">
        <f t="shared" si="51"/>
        <v>-12</v>
      </c>
      <c r="L114" s="67">
        <f t="shared" si="52"/>
        <v>100</v>
      </c>
      <c r="M114" s="66">
        <f t="shared" si="53"/>
        <v>-24</v>
      </c>
      <c r="N114" s="66">
        <f t="shared" si="54"/>
        <v>0</v>
      </c>
      <c r="O114" s="66">
        <f t="shared" si="55"/>
        <v>124</v>
      </c>
      <c r="P114" s="68"/>
    </row>
    <row r="115" spans="1:16" ht="15.75" x14ac:dyDescent="0.25">
      <c r="A115" s="75"/>
      <c r="B115" s="78"/>
      <c r="C115" s="79"/>
      <c r="D115" s="65">
        <f t="shared" si="48"/>
        <v>2</v>
      </c>
      <c r="E115" s="68"/>
      <c r="F115" s="68"/>
      <c r="G115" s="66">
        <f t="shared" si="49"/>
        <v>-12</v>
      </c>
      <c r="H115" s="66">
        <f t="shared" si="50"/>
        <v>-24</v>
      </c>
      <c r="I115" s="67"/>
      <c r="J115" s="68"/>
      <c r="K115" s="66">
        <f t="shared" si="51"/>
        <v>-12</v>
      </c>
      <c r="L115" s="67">
        <f t="shared" si="52"/>
        <v>100</v>
      </c>
      <c r="M115" s="66">
        <f t="shared" si="53"/>
        <v>-24</v>
      </c>
      <c r="N115" s="66">
        <f t="shared" si="54"/>
        <v>0</v>
      </c>
      <c r="O115" s="66">
        <f t="shared" si="55"/>
        <v>124</v>
      </c>
      <c r="P115" s="68"/>
    </row>
    <row r="116" spans="1:16" ht="15.75" x14ac:dyDescent="0.25">
      <c r="A116" s="75"/>
      <c r="B116" s="78"/>
      <c r="C116" s="79"/>
      <c r="D116" s="65">
        <f t="shared" si="48"/>
        <v>2</v>
      </c>
      <c r="E116" s="68"/>
      <c r="F116" s="68"/>
      <c r="G116" s="66">
        <f t="shared" si="49"/>
        <v>-12</v>
      </c>
      <c r="H116" s="66">
        <f t="shared" si="50"/>
        <v>-24</v>
      </c>
      <c r="I116" s="67"/>
      <c r="J116" s="68"/>
      <c r="K116" s="66">
        <f t="shared" si="51"/>
        <v>-12</v>
      </c>
      <c r="L116" s="67">
        <f t="shared" si="52"/>
        <v>100</v>
      </c>
      <c r="M116" s="66">
        <f t="shared" si="53"/>
        <v>-24</v>
      </c>
      <c r="N116" s="66">
        <f t="shared" si="54"/>
        <v>0</v>
      </c>
      <c r="O116" s="66">
        <f t="shared" si="55"/>
        <v>124</v>
      </c>
      <c r="P116" s="68"/>
    </row>
    <row r="117" spans="1:16" ht="15.75" x14ac:dyDescent="0.25">
      <c r="A117" s="75"/>
      <c r="B117" s="78"/>
      <c r="C117" s="79"/>
      <c r="D117" s="65">
        <f t="shared" si="48"/>
        <v>2</v>
      </c>
      <c r="E117" s="68"/>
      <c r="F117" s="68"/>
      <c r="G117" s="66">
        <f t="shared" si="49"/>
        <v>-12</v>
      </c>
      <c r="H117" s="66">
        <f t="shared" si="50"/>
        <v>-24</v>
      </c>
      <c r="I117" s="67"/>
      <c r="J117" s="68"/>
      <c r="K117" s="66">
        <f t="shared" si="51"/>
        <v>-12</v>
      </c>
      <c r="L117" s="67">
        <f t="shared" si="52"/>
        <v>100</v>
      </c>
      <c r="M117" s="66">
        <f t="shared" si="53"/>
        <v>-24</v>
      </c>
      <c r="N117" s="66">
        <f t="shared" si="54"/>
        <v>0</v>
      </c>
      <c r="O117" s="66">
        <f t="shared" si="55"/>
        <v>124</v>
      </c>
      <c r="P117" s="68"/>
    </row>
    <row r="118" spans="1:16" ht="15.75" x14ac:dyDescent="0.25">
      <c r="A118" s="75"/>
      <c r="B118" s="78"/>
      <c r="C118" s="79"/>
      <c r="D118" s="65">
        <f t="shared" si="48"/>
        <v>2</v>
      </c>
      <c r="E118" s="68"/>
      <c r="F118" s="68"/>
      <c r="G118" s="66">
        <f t="shared" si="49"/>
        <v>-12</v>
      </c>
      <c r="H118" s="66">
        <f t="shared" si="50"/>
        <v>-24</v>
      </c>
      <c r="I118" s="67"/>
      <c r="J118" s="68"/>
      <c r="K118" s="66">
        <f t="shared" si="51"/>
        <v>-12</v>
      </c>
      <c r="L118" s="67">
        <f t="shared" si="52"/>
        <v>100</v>
      </c>
      <c r="M118" s="66">
        <f t="shared" si="53"/>
        <v>-24</v>
      </c>
      <c r="N118" s="66">
        <f t="shared" si="54"/>
        <v>0</v>
      </c>
      <c r="O118" s="66">
        <f t="shared" si="55"/>
        <v>124</v>
      </c>
      <c r="P118" s="68"/>
    </row>
    <row r="119" spans="1:16" ht="15.75" x14ac:dyDescent="0.25">
      <c r="A119" s="75"/>
      <c r="B119" s="78"/>
      <c r="C119" s="79"/>
      <c r="D119" s="65">
        <f t="shared" si="48"/>
        <v>2</v>
      </c>
      <c r="E119" s="68"/>
      <c r="F119" s="68"/>
      <c r="G119" s="66">
        <f t="shared" si="49"/>
        <v>-12</v>
      </c>
      <c r="H119" s="66">
        <f t="shared" si="50"/>
        <v>-24</v>
      </c>
      <c r="I119" s="67"/>
      <c r="J119" s="68"/>
      <c r="K119" s="66">
        <f t="shared" si="51"/>
        <v>-12</v>
      </c>
      <c r="L119" s="67">
        <f t="shared" si="52"/>
        <v>100</v>
      </c>
      <c r="M119" s="66">
        <f t="shared" si="53"/>
        <v>-24</v>
      </c>
      <c r="N119" s="66">
        <f t="shared" si="54"/>
        <v>0</v>
      </c>
      <c r="O119" s="66">
        <f t="shared" si="55"/>
        <v>124</v>
      </c>
      <c r="P119" s="68"/>
    </row>
    <row r="120" spans="1:16" ht="15.75" x14ac:dyDescent="0.25">
      <c r="A120" s="75"/>
      <c r="B120" s="78"/>
      <c r="C120" s="79"/>
      <c r="D120" s="65">
        <f t="shared" si="48"/>
        <v>2</v>
      </c>
      <c r="E120" s="68"/>
      <c r="F120" s="68"/>
      <c r="G120" s="66">
        <f t="shared" si="49"/>
        <v>-12</v>
      </c>
      <c r="H120" s="66">
        <f t="shared" si="50"/>
        <v>-24</v>
      </c>
      <c r="I120" s="67"/>
      <c r="J120" s="68"/>
      <c r="K120" s="66">
        <f t="shared" si="51"/>
        <v>-12</v>
      </c>
      <c r="L120" s="67">
        <f t="shared" si="52"/>
        <v>100</v>
      </c>
      <c r="M120" s="66">
        <f t="shared" si="53"/>
        <v>-24</v>
      </c>
      <c r="N120" s="66">
        <f t="shared" si="54"/>
        <v>0</v>
      </c>
      <c r="O120" s="66">
        <f t="shared" si="55"/>
        <v>124</v>
      </c>
      <c r="P120" s="68"/>
    </row>
    <row r="121" spans="1:16" ht="15.75" x14ac:dyDescent="0.25">
      <c r="A121" s="75"/>
      <c r="B121" s="78"/>
      <c r="C121" s="79"/>
      <c r="D121" s="65">
        <f t="shared" si="48"/>
        <v>2</v>
      </c>
      <c r="E121" s="68"/>
      <c r="F121" s="68"/>
      <c r="G121" s="66">
        <f t="shared" si="49"/>
        <v>-12</v>
      </c>
      <c r="H121" s="66">
        <f t="shared" si="50"/>
        <v>-24</v>
      </c>
      <c r="I121" s="67"/>
      <c r="J121" s="68"/>
      <c r="K121" s="66">
        <f t="shared" si="51"/>
        <v>-12</v>
      </c>
      <c r="L121" s="67">
        <f t="shared" si="52"/>
        <v>100</v>
      </c>
      <c r="M121" s="66">
        <f t="shared" si="53"/>
        <v>-24</v>
      </c>
      <c r="N121" s="66">
        <f t="shared" si="54"/>
        <v>0</v>
      </c>
      <c r="O121" s="66">
        <f t="shared" si="55"/>
        <v>124</v>
      </c>
      <c r="P121" s="68"/>
    </row>
    <row r="122" spans="1:16" ht="15.75" x14ac:dyDescent="0.25">
      <c r="A122" s="75"/>
      <c r="B122" s="78"/>
      <c r="C122" s="79"/>
      <c r="D122" s="65">
        <f t="shared" si="48"/>
        <v>2</v>
      </c>
      <c r="E122" s="68"/>
      <c r="F122" s="68"/>
      <c r="G122" s="66">
        <f t="shared" si="49"/>
        <v>-12</v>
      </c>
      <c r="H122" s="66">
        <f t="shared" si="50"/>
        <v>-24</v>
      </c>
      <c r="I122" s="67"/>
      <c r="J122" s="68"/>
      <c r="K122" s="66">
        <f t="shared" si="51"/>
        <v>-12</v>
      </c>
      <c r="L122" s="67">
        <f t="shared" si="52"/>
        <v>100</v>
      </c>
      <c r="M122" s="66">
        <f t="shared" si="53"/>
        <v>-24</v>
      </c>
      <c r="N122" s="66">
        <f t="shared" si="54"/>
        <v>0</v>
      </c>
      <c r="O122" s="66">
        <f t="shared" si="55"/>
        <v>124</v>
      </c>
      <c r="P122" s="68"/>
    </row>
    <row r="123" spans="1:16" ht="15.75" x14ac:dyDescent="0.25">
      <c r="A123" s="75"/>
      <c r="B123" s="78"/>
      <c r="C123" s="79"/>
      <c r="D123" s="65">
        <f t="shared" si="48"/>
        <v>2</v>
      </c>
      <c r="E123" s="68"/>
      <c r="F123" s="68"/>
      <c r="G123" s="66">
        <f t="shared" si="49"/>
        <v>-12</v>
      </c>
      <c r="H123" s="66">
        <f t="shared" si="50"/>
        <v>-24</v>
      </c>
      <c r="I123" s="67"/>
      <c r="J123" s="68"/>
      <c r="K123" s="66">
        <f t="shared" si="51"/>
        <v>-12</v>
      </c>
      <c r="L123" s="67">
        <f t="shared" si="52"/>
        <v>100</v>
      </c>
      <c r="M123" s="66">
        <f t="shared" si="53"/>
        <v>-24</v>
      </c>
      <c r="N123" s="66">
        <f t="shared" si="54"/>
        <v>0</v>
      </c>
      <c r="O123" s="66">
        <f t="shared" si="55"/>
        <v>124</v>
      </c>
      <c r="P123" s="68"/>
    </row>
    <row r="124" spans="1:16" ht="15.75" x14ac:dyDescent="0.25">
      <c r="A124" s="75"/>
      <c r="B124" s="78"/>
      <c r="C124" s="79"/>
      <c r="D124" s="65">
        <f t="shared" si="48"/>
        <v>2</v>
      </c>
      <c r="E124" s="68"/>
      <c r="F124" s="68"/>
      <c r="G124" s="66">
        <f t="shared" si="49"/>
        <v>-12</v>
      </c>
      <c r="H124" s="66">
        <f t="shared" si="50"/>
        <v>-24</v>
      </c>
      <c r="I124" s="67"/>
      <c r="J124" s="68"/>
      <c r="K124" s="66">
        <f t="shared" si="51"/>
        <v>-12</v>
      </c>
      <c r="L124" s="67">
        <f t="shared" si="52"/>
        <v>100</v>
      </c>
      <c r="M124" s="66">
        <f t="shared" si="53"/>
        <v>-24</v>
      </c>
      <c r="N124" s="66">
        <f t="shared" si="54"/>
        <v>0</v>
      </c>
      <c r="O124" s="66">
        <f t="shared" si="55"/>
        <v>124</v>
      </c>
      <c r="P124" s="68"/>
    </row>
    <row r="125" spans="1:16" ht="15.75" x14ac:dyDescent="0.25">
      <c r="A125" s="75"/>
      <c r="B125" s="78"/>
      <c r="C125" s="79"/>
      <c r="D125" s="65">
        <f t="shared" si="48"/>
        <v>2</v>
      </c>
      <c r="E125" s="68"/>
      <c r="F125" s="68"/>
      <c r="G125" s="66">
        <f t="shared" si="49"/>
        <v>-12</v>
      </c>
      <c r="H125" s="66">
        <f t="shared" si="50"/>
        <v>-24</v>
      </c>
      <c r="I125" s="67"/>
      <c r="J125" s="68"/>
      <c r="K125" s="66">
        <f t="shared" si="51"/>
        <v>-12</v>
      </c>
      <c r="L125" s="67">
        <f t="shared" si="52"/>
        <v>100</v>
      </c>
      <c r="M125" s="66">
        <f t="shared" si="53"/>
        <v>-24</v>
      </c>
      <c r="N125" s="66">
        <f t="shared" si="54"/>
        <v>0</v>
      </c>
      <c r="O125" s="66">
        <f t="shared" si="55"/>
        <v>124</v>
      </c>
      <c r="P125" s="68"/>
    </row>
    <row r="126" spans="1:16" ht="15.75" x14ac:dyDescent="0.25">
      <c r="A126" s="75"/>
      <c r="B126" s="78"/>
      <c r="C126" s="79"/>
      <c r="D126" s="65">
        <f t="shared" si="48"/>
        <v>2</v>
      </c>
      <c r="E126" s="68"/>
      <c r="F126" s="68"/>
      <c r="G126" s="66">
        <f t="shared" si="49"/>
        <v>-12</v>
      </c>
      <c r="H126" s="66">
        <f t="shared" si="50"/>
        <v>-24</v>
      </c>
      <c r="I126" s="67"/>
      <c r="J126" s="68"/>
      <c r="K126" s="66">
        <f t="shared" si="51"/>
        <v>-12</v>
      </c>
      <c r="L126" s="67">
        <f t="shared" si="52"/>
        <v>100</v>
      </c>
      <c r="M126" s="66">
        <f t="shared" si="53"/>
        <v>-24</v>
      </c>
      <c r="N126" s="66">
        <f t="shared" si="54"/>
        <v>0</v>
      </c>
      <c r="O126" s="66">
        <f t="shared" si="55"/>
        <v>124</v>
      </c>
      <c r="P126" s="68"/>
    </row>
    <row r="127" spans="1:16" ht="15.75" x14ac:dyDescent="0.25">
      <c r="A127" s="75"/>
      <c r="B127" s="78"/>
      <c r="C127" s="79"/>
      <c r="D127" s="65">
        <f t="shared" si="48"/>
        <v>2</v>
      </c>
      <c r="E127" s="68"/>
      <c r="F127" s="68"/>
      <c r="G127" s="66">
        <f t="shared" si="49"/>
        <v>-12</v>
      </c>
      <c r="H127" s="66">
        <f t="shared" si="50"/>
        <v>-24</v>
      </c>
      <c r="I127" s="67"/>
      <c r="J127" s="68"/>
      <c r="K127" s="66">
        <f t="shared" si="51"/>
        <v>-12</v>
      </c>
      <c r="L127" s="67">
        <f t="shared" si="52"/>
        <v>100</v>
      </c>
      <c r="M127" s="66">
        <f t="shared" si="53"/>
        <v>-24</v>
      </c>
      <c r="N127" s="66">
        <f t="shared" si="54"/>
        <v>0</v>
      </c>
      <c r="O127" s="66">
        <f t="shared" si="55"/>
        <v>124</v>
      </c>
      <c r="P127" s="68"/>
    </row>
    <row r="128" spans="1:16" ht="15.75" x14ac:dyDescent="0.25">
      <c r="A128" s="75"/>
      <c r="B128" s="78"/>
      <c r="C128" s="79"/>
      <c r="D128" s="65">
        <f t="shared" si="48"/>
        <v>2</v>
      </c>
      <c r="E128" s="68"/>
      <c r="F128" s="68"/>
      <c r="G128" s="66">
        <f t="shared" si="49"/>
        <v>-12</v>
      </c>
      <c r="H128" s="66">
        <f t="shared" si="50"/>
        <v>-24</v>
      </c>
      <c r="I128" s="67"/>
      <c r="J128" s="68"/>
      <c r="K128" s="66">
        <f t="shared" si="51"/>
        <v>-12</v>
      </c>
      <c r="L128" s="67">
        <f t="shared" si="52"/>
        <v>100</v>
      </c>
      <c r="M128" s="66">
        <f t="shared" si="53"/>
        <v>-24</v>
      </c>
      <c r="N128" s="66">
        <f t="shared" si="54"/>
        <v>0</v>
      </c>
      <c r="O128" s="66">
        <f t="shared" si="55"/>
        <v>124</v>
      </c>
      <c r="P128" s="68"/>
    </row>
    <row r="129" spans="1:16" ht="15.75" x14ac:dyDescent="0.25">
      <c r="A129" s="75"/>
      <c r="B129" s="78"/>
      <c r="C129" s="79"/>
      <c r="D129" s="65">
        <f t="shared" si="48"/>
        <v>2</v>
      </c>
      <c r="E129" s="68"/>
      <c r="F129" s="68"/>
      <c r="G129" s="66">
        <f t="shared" si="49"/>
        <v>-12</v>
      </c>
      <c r="H129" s="66">
        <f t="shared" si="50"/>
        <v>-24</v>
      </c>
      <c r="I129" s="67"/>
      <c r="J129" s="68"/>
      <c r="K129" s="66">
        <f t="shared" si="51"/>
        <v>-12</v>
      </c>
      <c r="L129" s="67">
        <f t="shared" si="52"/>
        <v>100</v>
      </c>
      <c r="M129" s="66">
        <f t="shared" si="53"/>
        <v>-24</v>
      </c>
      <c r="N129" s="66">
        <f t="shared" si="54"/>
        <v>0</v>
      </c>
      <c r="O129" s="66">
        <f t="shared" si="55"/>
        <v>124</v>
      </c>
      <c r="P129" s="68"/>
    </row>
    <row r="130" spans="1:16" ht="15.75" x14ac:dyDescent="0.25">
      <c r="A130" s="75"/>
      <c r="B130" s="78"/>
      <c r="C130" s="79"/>
      <c r="D130" s="65">
        <f t="shared" si="48"/>
        <v>2</v>
      </c>
      <c r="E130" s="68"/>
      <c r="F130" s="68"/>
      <c r="G130" s="66">
        <f t="shared" si="49"/>
        <v>-12</v>
      </c>
      <c r="H130" s="66">
        <f t="shared" si="50"/>
        <v>-24</v>
      </c>
      <c r="I130" s="67"/>
      <c r="J130" s="68"/>
      <c r="K130" s="66">
        <f t="shared" si="51"/>
        <v>-12</v>
      </c>
      <c r="L130" s="67">
        <f t="shared" si="52"/>
        <v>100</v>
      </c>
      <c r="M130" s="66">
        <f t="shared" si="53"/>
        <v>-24</v>
      </c>
      <c r="N130" s="66">
        <f t="shared" si="54"/>
        <v>0</v>
      </c>
      <c r="O130" s="66">
        <f t="shared" si="55"/>
        <v>124</v>
      </c>
      <c r="P130" s="68"/>
    </row>
    <row r="131" spans="1:16" ht="15.75" x14ac:dyDescent="0.25">
      <c r="A131" s="75"/>
      <c r="B131" s="78"/>
      <c r="C131" s="79"/>
      <c r="D131" s="65">
        <f t="shared" si="48"/>
        <v>2</v>
      </c>
      <c r="E131" s="68"/>
      <c r="F131" s="68"/>
      <c r="G131" s="66">
        <f t="shared" si="49"/>
        <v>-12</v>
      </c>
      <c r="H131" s="66">
        <f t="shared" si="50"/>
        <v>-24</v>
      </c>
      <c r="I131" s="67"/>
      <c r="J131" s="68"/>
      <c r="K131" s="66">
        <f t="shared" si="51"/>
        <v>-12</v>
      </c>
      <c r="L131" s="67">
        <f t="shared" si="52"/>
        <v>100</v>
      </c>
      <c r="M131" s="66">
        <f t="shared" si="53"/>
        <v>-24</v>
      </c>
      <c r="N131" s="66">
        <f t="shared" si="54"/>
        <v>0</v>
      </c>
      <c r="O131" s="66">
        <f t="shared" si="55"/>
        <v>124</v>
      </c>
      <c r="P131" s="68"/>
    </row>
    <row r="132" spans="1:16" ht="15.75" x14ac:dyDescent="0.25">
      <c r="A132" s="75"/>
      <c r="B132" s="78"/>
      <c r="C132" s="79"/>
      <c r="D132" s="65">
        <f t="shared" si="48"/>
        <v>2</v>
      </c>
      <c r="E132" s="68"/>
      <c r="F132" s="68"/>
      <c r="G132" s="66">
        <f t="shared" si="49"/>
        <v>-12</v>
      </c>
      <c r="H132" s="66">
        <f t="shared" si="50"/>
        <v>-24</v>
      </c>
      <c r="I132" s="67"/>
      <c r="J132" s="68"/>
      <c r="K132" s="66">
        <f t="shared" si="51"/>
        <v>-12</v>
      </c>
      <c r="L132" s="67">
        <f t="shared" si="52"/>
        <v>100</v>
      </c>
      <c r="M132" s="66">
        <f t="shared" si="53"/>
        <v>-24</v>
      </c>
      <c r="N132" s="66">
        <f t="shared" si="54"/>
        <v>0</v>
      </c>
      <c r="O132" s="66">
        <f t="shared" si="55"/>
        <v>124</v>
      </c>
      <c r="P132" s="68"/>
    </row>
    <row r="133" spans="1:16" ht="15.75" x14ac:dyDescent="0.25">
      <c r="A133" s="75"/>
      <c r="B133" s="78"/>
      <c r="C133" s="79"/>
      <c r="D133" s="65">
        <f t="shared" si="48"/>
        <v>2</v>
      </c>
      <c r="E133" s="68"/>
      <c r="F133" s="68"/>
      <c r="G133" s="66">
        <f t="shared" si="49"/>
        <v>-12</v>
      </c>
      <c r="H133" s="66">
        <f t="shared" si="50"/>
        <v>-24</v>
      </c>
      <c r="I133" s="67"/>
      <c r="J133" s="68"/>
      <c r="K133" s="66">
        <f t="shared" si="51"/>
        <v>-12</v>
      </c>
      <c r="L133" s="67">
        <f t="shared" si="52"/>
        <v>100</v>
      </c>
      <c r="M133" s="66">
        <f t="shared" si="53"/>
        <v>-24</v>
      </c>
      <c r="N133" s="66">
        <f t="shared" si="54"/>
        <v>0</v>
      </c>
      <c r="O133" s="66">
        <f t="shared" si="55"/>
        <v>124</v>
      </c>
      <c r="P133" s="68"/>
    </row>
    <row r="134" spans="1:16" ht="15.75" x14ac:dyDescent="0.25">
      <c r="A134" s="75"/>
      <c r="B134" s="78"/>
      <c r="C134" s="79"/>
      <c r="D134" s="65">
        <f t="shared" si="48"/>
        <v>2</v>
      </c>
      <c r="E134" s="68"/>
      <c r="F134" s="68"/>
      <c r="G134" s="66">
        <f t="shared" si="49"/>
        <v>-12</v>
      </c>
      <c r="H134" s="66">
        <f t="shared" si="50"/>
        <v>-24</v>
      </c>
      <c r="I134" s="67"/>
      <c r="J134" s="68"/>
      <c r="K134" s="66">
        <f t="shared" si="51"/>
        <v>-12</v>
      </c>
      <c r="L134" s="67">
        <f t="shared" si="52"/>
        <v>100</v>
      </c>
      <c r="M134" s="66">
        <f t="shared" si="53"/>
        <v>-24</v>
      </c>
      <c r="N134" s="66">
        <f t="shared" si="54"/>
        <v>0</v>
      </c>
      <c r="O134" s="66">
        <f t="shared" si="55"/>
        <v>124</v>
      </c>
      <c r="P134" s="68"/>
    </row>
    <row r="135" spans="1:16" ht="15.75" x14ac:dyDescent="0.25">
      <c r="A135" s="75"/>
      <c r="B135" s="78"/>
      <c r="C135" s="79"/>
      <c r="D135" s="65">
        <f t="shared" si="48"/>
        <v>2</v>
      </c>
      <c r="E135" s="68"/>
      <c r="F135" s="68"/>
      <c r="G135" s="66">
        <f t="shared" si="49"/>
        <v>-12</v>
      </c>
      <c r="H135" s="66">
        <f t="shared" si="50"/>
        <v>-24</v>
      </c>
      <c r="I135" s="67"/>
      <c r="J135" s="68"/>
      <c r="K135" s="66">
        <f t="shared" si="51"/>
        <v>-12</v>
      </c>
      <c r="L135" s="67">
        <f t="shared" si="52"/>
        <v>100</v>
      </c>
      <c r="M135" s="66">
        <f t="shared" si="53"/>
        <v>-24</v>
      </c>
      <c r="N135" s="66">
        <f t="shared" si="54"/>
        <v>0</v>
      </c>
      <c r="O135" s="66">
        <f t="shared" si="55"/>
        <v>124</v>
      </c>
      <c r="P135" s="68"/>
    </row>
    <row r="136" spans="1:16" ht="15.75" x14ac:dyDescent="0.25">
      <c r="A136" s="75"/>
      <c r="B136" s="78"/>
      <c r="C136" s="79"/>
      <c r="D136" s="65">
        <f t="shared" si="48"/>
        <v>2</v>
      </c>
      <c r="E136" s="68"/>
      <c r="F136" s="68"/>
      <c r="G136" s="66">
        <f t="shared" si="49"/>
        <v>-12</v>
      </c>
      <c r="H136" s="66">
        <f t="shared" si="50"/>
        <v>-24</v>
      </c>
      <c r="I136" s="67"/>
      <c r="J136" s="68"/>
      <c r="K136" s="66">
        <f t="shared" si="51"/>
        <v>-12</v>
      </c>
      <c r="L136" s="67">
        <f t="shared" si="52"/>
        <v>100</v>
      </c>
      <c r="M136" s="66">
        <f t="shared" si="53"/>
        <v>-24</v>
      </c>
      <c r="N136" s="66">
        <f t="shared" si="54"/>
        <v>0</v>
      </c>
      <c r="O136" s="66">
        <f t="shared" si="55"/>
        <v>124</v>
      </c>
      <c r="P136" s="68"/>
    </row>
    <row r="137" spans="1:16" ht="15.75" x14ac:dyDescent="0.25">
      <c r="A137" s="75"/>
      <c r="B137" s="78"/>
      <c r="C137" s="79"/>
      <c r="D137" s="65">
        <f t="shared" si="48"/>
        <v>2</v>
      </c>
      <c r="E137" s="68"/>
      <c r="F137" s="68"/>
      <c r="G137" s="66">
        <f t="shared" si="49"/>
        <v>-12</v>
      </c>
      <c r="H137" s="66">
        <f t="shared" si="50"/>
        <v>-24</v>
      </c>
      <c r="I137" s="67"/>
      <c r="J137" s="68"/>
      <c r="K137" s="66">
        <f t="shared" si="51"/>
        <v>-12</v>
      </c>
      <c r="L137" s="67">
        <f t="shared" si="52"/>
        <v>100</v>
      </c>
      <c r="M137" s="66">
        <f t="shared" si="53"/>
        <v>-24</v>
      </c>
      <c r="N137" s="66">
        <f t="shared" si="54"/>
        <v>0</v>
      </c>
      <c r="O137" s="66">
        <f t="shared" si="55"/>
        <v>124</v>
      </c>
      <c r="P137" s="68"/>
    </row>
    <row r="138" spans="1:16" ht="15.75" x14ac:dyDescent="0.25">
      <c r="A138" s="75"/>
      <c r="B138" s="78"/>
      <c r="C138" s="79"/>
      <c r="D138" s="65">
        <f t="shared" si="48"/>
        <v>2</v>
      </c>
      <c r="E138" s="68"/>
      <c r="F138" s="68"/>
      <c r="G138" s="66">
        <f t="shared" si="49"/>
        <v>-12</v>
      </c>
      <c r="H138" s="66">
        <f t="shared" si="50"/>
        <v>-24</v>
      </c>
      <c r="I138" s="67"/>
      <c r="J138" s="68"/>
      <c r="K138" s="66">
        <f t="shared" si="51"/>
        <v>-12</v>
      </c>
      <c r="L138" s="67">
        <f t="shared" si="52"/>
        <v>100</v>
      </c>
      <c r="M138" s="66">
        <f t="shared" si="53"/>
        <v>-24</v>
      </c>
      <c r="N138" s="66">
        <f t="shared" si="54"/>
        <v>0</v>
      </c>
      <c r="O138" s="66">
        <f t="shared" si="55"/>
        <v>124</v>
      </c>
      <c r="P138" s="68"/>
    </row>
    <row r="139" spans="1:16" ht="15.75" x14ac:dyDescent="0.25">
      <c r="A139" s="75"/>
      <c r="B139" s="78"/>
      <c r="C139" s="79"/>
      <c r="D139" s="65">
        <f t="shared" si="48"/>
        <v>2</v>
      </c>
      <c r="E139" s="68"/>
      <c r="F139" s="68"/>
      <c r="G139" s="66">
        <f t="shared" si="49"/>
        <v>-12</v>
      </c>
      <c r="H139" s="66">
        <f t="shared" si="50"/>
        <v>-24</v>
      </c>
      <c r="I139" s="67"/>
      <c r="J139" s="68"/>
      <c r="K139" s="66">
        <f t="shared" si="51"/>
        <v>-12</v>
      </c>
      <c r="L139" s="67">
        <f t="shared" si="52"/>
        <v>100</v>
      </c>
      <c r="M139" s="66">
        <f t="shared" si="53"/>
        <v>-24</v>
      </c>
      <c r="N139" s="66">
        <f t="shared" si="54"/>
        <v>0</v>
      </c>
      <c r="O139" s="66">
        <f t="shared" si="55"/>
        <v>124</v>
      </c>
      <c r="P139" s="68"/>
    </row>
    <row r="140" spans="1:16" ht="15.75" x14ac:dyDescent="0.25">
      <c r="A140" s="75"/>
      <c r="B140" s="78"/>
      <c r="C140" s="79"/>
      <c r="D140" s="65">
        <f t="shared" si="48"/>
        <v>2</v>
      </c>
      <c r="E140" s="68"/>
      <c r="F140" s="68"/>
      <c r="G140" s="66">
        <f t="shared" si="49"/>
        <v>-12</v>
      </c>
      <c r="H140" s="66">
        <f t="shared" si="50"/>
        <v>-24</v>
      </c>
      <c r="I140" s="67"/>
      <c r="J140" s="68"/>
      <c r="K140" s="66">
        <f t="shared" si="51"/>
        <v>-12</v>
      </c>
      <c r="L140" s="67">
        <f t="shared" si="52"/>
        <v>100</v>
      </c>
      <c r="M140" s="66">
        <f t="shared" si="53"/>
        <v>-24</v>
      </c>
      <c r="N140" s="66">
        <f t="shared" si="54"/>
        <v>0</v>
      </c>
      <c r="O140" s="66">
        <f t="shared" si="55"/>
        <v>124</v>
      </c>
      <c r="P140" s="68"/>
    </row>
    <row r="141" spans="1:16" ht="15.75" x14ac:dyDescent="0.25">
      <c r="A141" s="75"/>
      <c r="B141" s="78"/>
      <c r="C141" s="79"/>
      <c r="D141" s="65">
        <f t="shared" si="48"/>
        <v>2</v>
      </c>
      <c r="E141" s="68"/>
      <c r="F141" s="68"/>
      <c r="G141" s="66">
        <f t="shared" si="49"/>
        <v>-12</v>
      </c>
      <c r="H141" s="66">
        <f t="shared" si="50"/>
        <v>-24</v>
      </c>
      <c r="I141" s="67"/>
      <c r="J141" s="68"/>
      <c r="K141" s="66">
        <f t="shared" si="51"/>
        <v>-12</v>
      </c>
      <c r="L141" s="67">
        <f t="shared" si="52"/>
        <v>100</v>
      </c>
      <c r="M141" s="66">
        <f t="shared" si="53"/>
        <v>-24</v>
      </c>
      <c r="N141" s="66">
        <f t="shared" si="54"/>
        <v>0</v>
      </c>
      <c r="O141" s="66">
        <f t="shared" si="55"/>
        <v>124</v>
      </c>
      <c r="P141" s="68"/>
    </row>
    <row r="142" spans="1:16" ht="15.75" x14ac:dyDescent="0.25">
      <c r="A142" s="75"/>
      <c r="B142" s="78"/>
      <c r="C142" s="79"/>
      <c r="D142" s="65">
        <f t="shared" si="48"/>
        <v>2</v>
      </c>
      <c r="E142" s="68"/>
      <c r="F142" s="68"/>
      <c r="G142" s="66">
        <f t="shared" si="49"/>
        <v>-12</v>
      </c>
      <c r="H142" s="66">
        <f t="shared" si="50"/>
        <v>-24</v>
      </c>
      <c r="I142" s="67"/>
      <c r="J142" s="68"/>
      <c r="K142" s="66">
        <f t="shared" si="51"/>
        <v>-12</v>
      </c>
      <c r="L142" s="67">
        <f t="shared" si="52"/>
        <v>100</v>
      </c>
      <c r="M142" s="66">
        <f t="shared" si="53"/>
        <v>-24</v>
      </c>
      <c r="N142" s="66">
        <f t="shared" si="54"/>
        <v>0</v>
      </c>
      <c r="O142" s="66">
        <f t="shared" si="55"/>
        <v>124</v>
      </c>
      <c r="P142" s="68"/>
    </row>
    <row r="143" spans="1:16" ht="15.75" x14ac:dyDescent="0.25">
      <c r="A143" s="75"/>
      <c r="B143" s="78"/>
      <c r="C143" s="79"/>
      <c r="D143" s="65">
        <f t="shared" si="48"/>
        <v>2</v>
      </c>
      <c r="E143" s="68"/>
      <c r="F143" s="68"/>
      <c r="G143" s="66">
        <f t="shared" si="49"/>
        <v>-12</v>
      </c>
      <c r="H143" s="66">
        <f t="shared" si="50"/>
        <v>-24</v>
      </c>
      <c r="I143" s="67"/>
      <c r="J143" s="68"/>
      <c r="K143" s="66">
        <f t="shared" si="51"/>
        <v>-12</v>
      </c>
      <c r="L143" s="67">
        <f t="shared" si="52"/>
        <v>100</v>
      </c>
      <c r="M143" s="66">
        <f t="shared" si="53"/>
        <v>-24</v>
      </c>
      <c r="N143" s="66">
        <f t="shared" si="54"/>
        <v>0</v>
      </c>
      <c r="O143" s="66">
        <f t="shared" si="55"/>
        <v>124</v>
      </c>
      <c r="P143" s="68"/>
    </row>
    <row r="144" spans="1:16" ht="15.75" x14ac:dyDescent="0.25">
      <c r="A144" s="75"/>
      <c r="B144" s="78"/>
      <c r="C144" s="79"/>
      <c r="D144" s="65">
        <f t="shared" ref="D144:D207" si="56">+(200/(100-C144))</f>
        <v>2</v>
      </c>
      <c r="E144" s="68"/>
      <c r="F144" s="68"/>
      <c r="G144" s="66">
        <f t="shared" ref="G144:G207" si="57">+((F144-60)*0.2+(E144))</f>
        <v>-12</v>
      </c>
      <c r="H144" s="66">
        <f t="shared" ref="H144:H207" si="58">+(G144*D144)</f>
        <v>-24</v>
      </c>
      <c r="I144" s="67"/>
      <c r="J144" s="68"/>
      <c r="K144" s="66">
        <f t="shared" ref="K144:K207" si="59">+((J144-60)*0.2+(I144))</f>
        <v>-12</v>
      </c>
      <c r="L144" s="67">
        <f t="shared" ref="L144:L207" si="60">+(M144+N144+O144)</f>
        <v>100</v>
      </c>
      <c r="M144" s="66">
        <f t="shared" ref="M144:M207" si="61">+(K144*D144)</f>
        <v>-24</v>
      </c>
      <c r="N144" s="66">
        <f t="shared" ref="N144:N207" si="62">+(H144-M144)</f>
        <v>0</v>
      </c>
      <c r="O144" s="66">
        <f t="shared" ref="O144:O207" si="63">+(100-H144)</f>
        <v>124</v>
      </c>
      <c r="P144" s="68"/>
    </row>
    <row r="145" spans="1:16" ht="15.75" x14ac:dyDescent="0.25">
      <c r="A145" s="75"/>
      <c r="B145" s="78"/>
      <c r="C145" s="79"/>
      <c r="D145" s="65">
        <f t="shared" si="56"/>
        <v>2</v>
      </c>
      <c r="E145" s="68"/>
      <c r="F145" s="68"/>
      <c r="G145" s="66">
        <f t="shared" si="57"/>
        <v>-12</v>
      </c>
      <c r="H145" s="66">
        <f t="shared" si="58"/>
        <v>-24</v>
      </c>
      <c r="I145" s="67"/>
      <c r="J145" s="68"/>
      <c r="K145" s="66">
        <f t="shared" si="59"/>
        <v>-12</v>
      </c>
      <c r="L145" s="67">
        <f t="shared" si="60"/>
        <v>100</v>
      </c>
      <c r="M145" s="66">
        <f t="shared" si="61"/>
        <v>-24</v>
      </c>
      <c r="N145" s="66">
        <f t="shared" si="62"/>
        <v>0</v>
      </c>
      <c r="O145" s="66">
        <f t="shared" si="63"/>
        <v>124</v>
      </c>
      <c r="P145" s="68"/>
    </row>
    <row r="146" spans="1:16" ht="15.75" x14ac:dyDescent="0.25">
      <c r="A146" s="75"/>
      <c r="B146" s="78"/>
      <c r="C146" s="79"/>
      <c r="D146" s="65">
        <f t="shared" si="56"/>
        <v>2</v>
      </c>
      <c r="E146" s="68"/>
      <c r="F146" s="68"/>
      <c r="G146" s="66">
        <f t="shared" si="57"/>
        <v>-12</v>
      </c>
      <c r="H146" s="66">
        <f t="shared" si="58"/>
        <v>-24</v>
      </c>
      <c r="I146" s="67"/>
      <c r="J146" s="68"/>
      <c r="K146" s="66">
        <f t="shared" si="59"/>
        <v>-12</v>
      </c>
      <c r="L146" s="67">
        <f t="shared" si="60"/>
        <v>100</v>
      </c>
      <c r="M146" s="66">
        <f t="shared" si="61"/>
        <v>-24</v>
      </c>
      <c r="N146" s="66">
        <f t="shared" si="62"/>
        <v>0</v>
      </c>
      <c r="O146" s="66">
        <f t="shared" si="63"/>
        <v>124</v>
      </c>
      <c r="P146" s="68"/>
    </row>
    <row r="147" spans="1:16" ht="15.75" x14ac:dyDescent="0.25">
      <c r="A147" s="75"/>
      <c r="B147" s="78"/>
      <c r="C147" s="79"/>
      <c r="D147" s="65">
        <f t="shared" si="56"/>
        <v>2</v>
      </c>
      <c r="E147" s="68"/>
      <c r="F147" s="68"/>
      <c r="G147" s="66">
        <f t="shared" si="57"/>
        <v>-12</v>
      </c>
      <c r="H147" s="66">
        <f t="shared" si="58"/>
        <v>-24</v>
      </c>
      <c r="I147" s="67"/>
      <c r="J147" s="68"/>
      <c r="K147" s="66">
        <f t="shared" si="59"/>
        <v>-12</v>
      </c>
      <c r="L147" s="67">
        <f t="shared" si="60"/>
        <v>100</v>
      </c>
      <c r="M147" s="66">
        <f t="shared" si="61"/>
        <v>-24</v>
      </c>
      <c r="N147" s="66">
        <f t="shared" si="62"/>
        <v>0</v>
      </c>
      <c r="O147" s="66">
        <f t="shared" si="63"/>
        <v>124</v>
      </c>
      <c r="P147" s="68"/>
    </row>
    <row r="148" spans="1:16" ht="15.75" x14ac:dyDescent="0.25">
      <c r="A148" s="75"/>
      <c r="B148" s="78"/>
      <c r="C148" s="79"/>
      <c r="D148" s="65">
        <f t="shared" si="56"/>
        <v>2</v>
      </c>
      <c r="E148" s="68"/>
      <c r="F148" s="68"/>
      <c r="G148" s="66">
        <f t="shared" si="57"/>
        <v>-12</v>
      </c>
      <c r="H148" s="66">
        <f t="shared" si="58"/>
        <v>-24</v>
      </c>
      <c r="I148" s="67"/>
      <c r="J148" s="68"/>
      <c r="K148" s="66">
        <f t="shared" si="59"/>
        <v>-12</v>
      </c>
      <c r="L148" s="67">
        <f t="shared" si="60"/>
        <v>100</v>
      </c>
      <c r="M148" s="66">
        <f t="shared" si="61"/>
        <v>-24</v>
      </c>
      <c r="N148" s="66">
        <f t="shared" si="62"/>
        <v>0</v>
      </c>
      <c r="O148" s="66">
        <f t="shared" si="63"/>
        <v>124</v>
      </c>
      <c r="P148" s="68"/>
    </row>
    <row r="149" spans="1:16" ht="15.75" x14ac:dyDescent="0.25">
      <c r="A149" s="75"/>
      <c r="B149" s="78"/>
      <c r="C149" s="79"/>
      <c r="D149" s="65">
        <f t="shared" si="56"/>
        <v>2</v>
      </c>
      <c r="E149" s="68"/>
      <c r="F149" s="68"/>
      <c r="G149" s="66">
        <f t="shared" si="57"/>
        <v>-12</v>
      </c>
      <c r="H149" s="66">
        <f t="shared" si="58"/>
        <v>-24</v>
      </c>
      <c r="I149" s="67"/>
      <c r="J149" s="68"/>
      <c r="K149" s="66">
        <f t="shared" si="59"/>
        <v>-12</v>
      </c>
      <c r="L149" s="67">
        <f t="shared" si="60"/>
        <v>100</v>
      </c>
      <c r="M149" s="66">
        <f t="shared" si="61"/>
        <v>-24</v>
      </c>
      <c r="N149" s="66">
        <f t="shared" si="62"/>
        <v>0</v>
      </c>
      <c r="O149" s="66">
        <f t="shared" si="63"/>
        <v>124</v>
      </c>
      <c r="P149" s="68"/>
    </row>
    <row r="150" spans="1:16" ht="15.75" x14ac:dyDescent="0.25">
      <c r="A150" s="75"/>
      <c r="B150" s="78"/>
      <c r="C150" s="79"/>
      <c r="D150" s="65">
        <f t="shared" si="56"/>
        <v>2</v>
      </c>
      <c r="E150" s="68"/>
      <c r="F150" s="68"/>
      <c r="G150" s="66">
        <f t="shared" si="57"/>
        <v>-12</v>
      </c>
      <c r="H150" s="66">
        <f t="shared" si="58"/>
        <v>-24</v>
      </c>
      <c r="I150" s="67"/>
      <c r="J150" s="68"/>
      <c r="K150" s="66">
        <f t="shared" si="59"/>
        <v>-12</v>
      </c>
      <c r="L150" s="67">
        <f t="shared" si="60"/>
        <v>100</v>
      </c>
      <c r="M150" s="66">
        <f t="shared" si="61"/>
        <v>-24</v>
      </c>
      <c r="N150" s="66">
        <f t="shared" si="62"/>
        <v>0</v>
      </c>
      <c r="O150" s="66">
        <f t="shared" si="63"/>
        <v>124</v>
      </c>
      <c r="P150" s="68"/>
    </row>
    <row r="151" spans="1:16" ht="15.75" x14ac:dyDescent="0.25">
      <c r="A151" s="75"/>
      <c r="B151" s="78"/>
      <c r="C151" s="79"/>
      <c r="D151" s="65">
        <f t="shared" si="56"/>
        <v>2</v>
      </c>
      <c r="E151" s="68"/>
      <c r="F151" s="68"/>
      <c r="G151" s="66">
        <f t="shared" si="57"/>
        <v>-12</v>
      </c>
      <c r="H151" s="66">
        <f t="shared" si="58"/>
        <v>-24</v>
      </c>
      <c r="I151" s="67"/>
      <c r="J151" s="68"/>
      <c r="K151" s="66">
        <f t="shared" si="59"/>
        <v>-12</v>
      </c>
      <c r="L151" s="67">
        <f t="shared" si="60"/>
        <v>100</v>
      </c>
      <c r="M151" s="66">
        <f t="shared" si="61"/>
        <v>-24</v>
      </c>
      <c r="N151" s="66">
        <f t="shared" si="62"/>
        <v>0</v>
      </c>
      <c r="O151" s="66">
        <f t="shared" si="63"/>
        <v>124</v>
      </c>
      <c r="P151" s="68"/>
    </row>
    <row r="152" spans="1:16" ht="15.75" x14ac:dyDescent="0.25">
      <c r="A152" s="75"/>
      <c r="B152" s="78"/>
      <c r="C152" s="79"/>
      <c r="D152" s="65">
        <f t="shared" si="56"/>
        <v>2</v>
      </c>
      <c r="E152" s="68"/>
      <c r="F152" s="68"/>
      <c r="G152" s="66">
        <f t="shared" si="57"/>
        <v>-12</v>
      </c>
      <c r="H152" s="66">
        <f t="shared" si="58"/>
        <v>-24</v>
      </c>
      <c r="I152" s="67"/>
      <c r="J152" s="68"/>
      <c r="K152" s="66">
        <f t="shared" si="59"/>
        <v>-12</v>
      </c>
      <c r="L152" s="67">
        <f t="shared" si="60"/>
        <v>100</v>
      </c>
      <c r="M152" s="66">
        <f t="shared" si="61"/>
        <v>-24</v>
      </c>
      <c r="N152" s="66">
        <f t="shared" si="62"/>
        <v>0</v>
      </c>
      <c r="O152" s="66">
        <f t="shared" si="63"/>
        <v>124</v>
      </c>
      <c r="P152" s="68"/>
    </row>
    <row r="153" spans="1:16" ht="15.75" x14ac:dyDescent="0.25">
      <c r="A153" s="75"/>
      <c r="B153" s="78"/>
      <c r="C153" s="79"/>
      <c r="D153" s="65">
        <f t="shared" si="56"/>
        <v>2</v>
      </c>
      <c r="E153" s="68"/>
      <c r="F153" s="68"/>
      <c r="G153" s="66">
        <f t="shared" si="57"/>
        <v>-12</v>
      </c>
      <c r="H153" s="66">
        <f t="shared" si="58"/>
        <v>-24</v>
      </c>
      <c r="I153" s="67"/>
      <c r="J153" s="68"/>
      <c r="K153" s="66">
        <f t="shared" si="59"/>
        <v>-12</v>
      </c>
      <c r="L153" s="67">
        <f t="shared" si="60"/>
        <v>100</v>
      </c>
      <c r="M153" s="66">
        <f t="shared" si="61"/>
        <v>-24</v>
      </c>
      <c r="N153" s="66">
        <f t="shared" si="62"/>
        <v>0</v>
      </c>
      <c r="O153" s="66">
        <f t="shared" si="63"/>
        <v>124</v>
      </c>
      <c r="P153" s="68"/>
    </row>
    <row r="154" spans="1:16" ht="15.75" x14ac:dyDescent="0.25">
      <c r="A154" s="75"/>
      <c r="B154" s="78"/>
      <c r="C154" s="79"/>
      <c r="D154" s="65">
        <f t="shared" si="56"/>
        <v>2</v>
      </c>
      <c r="E154" s="68"/>
      <c r="F154" s="68"/>
      <c r="G154" s="66">
        <f t="shared" si="57"/>
        <v>-12</v>
      </c>
      <c r="H154" s="66">
        <f t="shared" si="58"/>
        <v>-24</v>
      </c>
      <c r="I154" s="67"/>
      <c r="J154" s="68"/>
      <c r="K154" s="66">
        <f t="shared" si="59"/>
        <v>-12</v>
      </c>
      <c r="L154" s="67">
        <f t="shared" si="60"/>
        <v>100</v>
      </c>
      <c r="M154" s="66">
        <f t="shared" si="61"/>
        <v>-24</v>
      </c>
      <c r="N154" s="66">
        <f t="shared" si="62"/>
        <v>0</v>
      </c>
      <c r="O154" s="66">
        <f t="shared" si="63"/>
        <v>124</v>
      </c>
      <c r="P154" s="68"/>
    </row>
    <row r="155" spans="1:16" ht="15.75" x14ac:dyDescent="0.25">
      <c r="A155" s="75"/>
      <c r="B155" s="78"/>
      <c r="C155" s="79"/>
      <c r="D155" s="65">
        <f t="shared" si="56"/>
        <v>2</v>
      </c>
      <c r="E155" s="68"/>
      <c r="F155" s="68"/>
      <c r="G155" s="66">
        <f t="shared" si="57"/>
        <v>-12</v>
      </c>
      <c r="H155" s="66">
        <f t="shared" si="58"/>
        <v>-24</v>
      </c>
      <c r="I155" s="67"/>
      <c r="J155" s="68"/>
      <c r="K155" s="66">
        <f t="shared" si="59"/>
        <v>-12</v>
      </c>
      <c r="L155" s="67">
        <f t="shared" si="60"/>
        <v>100</v>
      </c>
      <c r="M155" s="66">
        <f t="shared" si="61"/>
        <v>-24</v>
      </c>
      <c r="N155" s="66">
        <f t="shared" si="62"/>
        <v>0</v>
      </c>
      <c r="O155" s="66">
        <f t="shared" si="63"/>
        <v>124</v>
      </c>
      <c r="P155" s="68"/>
    </row>
    <row r="156" spans="1:16" ht="15.75" x14ac:dyDescent="0.25">
      <c r="A156" s="75"/>
      <c r="B156" s="78"/>
      <c r="C156" s="79"/>
      <c r="D156" s="65">
        <f t="shared" si="56"/>
        <v>2</v>
      </c>
      <c r="E156" s="68"/>
      <c r="F156" s="68"/>
      <c r="G156" s="66">
        <f t="shared" si="57"/>
        <v>-12</v>
      </c>
      <c r="H156" s="66">
        <f t="shared" si="58"/>
        <v>-24</v>
      </c>
      <c r="I156" s="67"/>
      <c r="J156" s="68"/>
      <c r="K156" s="66">
        <f t="shared" si="59"/>
        <v>-12</v>
      </c>
      <c r="L156" s="67">
        <f t="shared" si="60"/>
        <v>100</v>
      </c>
      <c r="M156" s="66">
        <f t="shared" si="61"/>
        <v>-24</v>
      </c>
      <c r="N156" s="66">
        <f t="shared" si="62"/>
        <v>0</v>
      </c>
      <c r="O156" s="66">
        <f t="shared" si="63"/>
        <v>124</v>
      </c>
      <c r="P156" s="68"/>
    </row>
    <row r="157" spans="1:16" ht="15.75" x14ac:dyDescent="0.25">
      <c r="A157" s="75"/>
      <c r="B157" s="78"/>
      <c r="C157" s="79"/>
      <c r="D157" s="65">
        <f t="shared" si="56"/>
        <v>2</v>
      </c>
      <c r="E157" s="68"/>
      <c r="F157" s="68"/>
      <c r="G157" s="66">
        <f t="shared" si="57"/>
        <v>-12</v>
      </c>
      <c r="H157" s="66">
        <f t="shared" si="58"/>
        <v>-24</v>
      </c>
      <c r="I157" s="67"/>
      <c r="J157" s="68"/>
      <c r="K157" s="66">
        <f t="shared" si="59"/>
        <v>-12</v>
      </c>
      <c r="L157" s="67">
        <f t="shared" si="60"/>
        <v>100</v>
      </c>
      <c r="M157" s="66">
        <f t="shared" si="61"/>
        <v>-24</v>
      </c>
      <c r="N157" s="66">
        <f t="shared" si="62"/>
        <v>0</v>
      </c>
      <c r="O157" s="66">
        <f t="shared" si="63"/>
        <v>124</v>
      </c>
      <c r="P157" s="68"/>
    </row>
    <row r="158" spans="1:16" ht="15.75" x14ac:dyDescent="0.25">
      <c r="A158" s="75"/>
      <c r="B158" s="78"/>
      <c r="C158" s="79"/>
      <c r="D158" s="65">
        <f t="shared" si="56"/>
        <v>2</v>
      </c>
      <c r="E158" s="68"/>
      <c r="F158" s="68"/>
      <c r="G158" s="66">
        <f t="shared" si="57"/>
        <v>-12</v>
      </c>
      <c r="H158" s="66">
        <f t="shared" si="58"/>
        <v>-24</v>
      </c>
      <c r="I158" s="67"/>
      <c r="J158" s="68"/>
      <c r="K158" s="66">
        <f t="shared" si="59"/>
        <v>-12</v>
      </c>
      <c r="L158" s="67">
        <f t="shared" si="60"/>
        <v>100</v>
      </c>
      <c r="M158" s="66">
        <f t="shared" si="61"/>
        <v>-24</v>
      </c>
      <c r="N158" s="66">
        <f t="shared" si="62"/>
        <v>0</v>
      </c>
      <c r="O158" s="66">
        <f t="shared" si="63"/>
        <v>124</v>
      </c>
      <c r="P158" s="68"/>
    </row>
    <row r="159" spans="1:16" ht="15.75" x14ac:dyDescent="0.25">
      <c r="A159" s="75"/>
      <c r="B159" s="78"/>
      <c r="C159" s="79"/>
      <c r="D159" s="65">
        <f t="shared" si="56"/>
        <v>2</v>
      </c>
      <c r="E159" s="68"/>
      <c r="F159" s="68"/>
      <c r="G159" s="66">
        <f t="shared" si="57"/>
        <v>-12</v>
      </c>
      <c r="H159" s="66">
        <f t="shared" si="58"/>
        <v>-24</v>
      </c>
      <c r="I159" s="67"/>
      <c r="J159" s="68"/>
      <c r="K159" s="66">
        <f t="shared" si="59"/>
        <v>-12</v>
      </c>
      <c r="L159" s="67">
        <f t="shared" si="60"/>
        <v>100</v>
      </c>
      <c r="M159" s="66">
        <f t="shared" si="61"/>
        <v>-24</v>
      </c>
      <c r="N159" s="66">
        <f t="shared" si="62"/>
        <v>0</v>
      </c>
      <c r="O159" s="66">
        <f t="shared" si="63"/>
        <v>124</v>
      </c>
      <c r="P159" s="68"/>
    </row>
    <row r="160" spans="1:16" ht="15.75" x14ac:dyDescent="0.25">
      <c r="A160" s="75"/>
      <c r="B160" s="78"/>
      <c r="C160" s="79"/>
      <c r="D160" s="65">
        <f t="shared" si="56"/>
        <v>2</v>
      </c>
      <c r="E160" s="68"/>
      <c r="F160" s="68"/>
      <c r="G160" s="66">
        <f t="shared" si="57"/>
        <v>-12</v>
      </c>
      <c r="H160" s="66">
        <f t="shared" si="58"/>
        <v>-24</v>
      </c>
      <c r="I160" s="67"/>
      <c r="J160" s="68"/>
      <c r="K160" s="66">
        <f t="shared" si="59"/>
        <v>-12</v>
      </c>
      <c r="L160" s="67">
        <f t="shared" si="60"/>
        <v>100</v>
      </c>
      <c r="M160" s="66">
        <f t="shared" si="61"/>
        <v>-24</v>
      </c>
      <c r="N160" s="66">
        <f t="shared" si="62"/>
        <v>0</v>
      </c>
      <c r="O160" s="66">
        <f t="shared" si="63"/>
        <v>124</v>
      </c>
      <c r="P160" s="68"/>
    </row>
    <row r="161" spans="1:16" ht="15.75" x14ac:dyDescent="0.25">
      <c r="A161" s="75"/>
      <c r="B161" s="78"/>
      <c r="C161" s="79"/>
      <c r="D161" s="65">
        <f t="shared" si="56"/>
        <v>2</v>
      </c>
      <c r="E161" s="68"/>
      <c r="F161" s="68"/>
      <c r="G161" s="66">
        <f t="shared" si="57"/>
        <v>-12</v>
      </c>
      <c r="H161" s="66">
        <f t="shared" si="58"/>
        <v>-24</v>
      </c>
      <c r="I161" s="67"/>
      <c r="J161" s="68"/>
      <c r="K161" s="66">
        <f t="shared" si="59"/>
        <v>-12</v>
      </c>
      <c r="L161" s="67">
        <f t="shared" si="60"/>
        <v>100</v>
      </c>
      <c r="M161" s="66">
        <f t="shared" si="61"/>
        <v>-24</v>
      </c>
      <c r="N161" s="66">
        <f t="shared" si="62"/>
        <v>0</v>
      </c>
      <c r="O161" s="66">
        <f t="shared" si="63"/>
        <v>124</v>
      </c>
      <c r="P161" s="68"/>
    </row>
    <row r="162" spans="1:16" ht="15.75" x14ac:dyDescent="0.25">
      <c r="A162" s="75"/>
      <c r="B162" s="78"/>
      <c r="C162" s="79"/>
      <c r="D162" s="65">
        <f t="shared" si="56"/>
        <v>2</v>
      </c>
      <c r="E162" s="68"/>
      <c r="F162" s="68"/>
      <c r="G162" s="66">
        <f t="shared" si="57"/>
        <v>-12</v>
      </c>
      <c r="H162" s="66">
        <f t="shared" si="58"/>
        <v>-24</v>
      </c>
      <c r="I162" s="67"/>
      <c r="J162" s="68"/>
      <c r="K162" s="66">
        <f t="shared" si="59"/>
        <v>-12</v>
      </c>
      <c r="L162" s="67">
        <f t="shared" si="60"/>
        <v>100</v>
      </c>
      <c r="M162" s="66">
        <f t="shared" si="61"/>
        <v>-24</v>
      </c>
      <c r="N162" s="66">
        <f t="shared" si="62"/>
        <v>0</v>
      </c>
      <c r="O162" s="66">
        <f t="shared" si="63"/>
        <v>124</v>
      </c>
      <c r="P162" s="68"/>
    </row>
    <row r="163" spans="1:16" ht="15.75" x14ac:dyDescent="0.25">
      <c r="A163" s="75"/>
      <c r="B163" s="78"/>
      <c r="C163" s="79"/>
      <c r="D163" s="65">
        <f t="shared" si="56"/>
        <v>2</v>
      </c>
      <c r="E163" s="68"/>
      <c r="F163" s="68"/>
      <c r="G163" s="66">
        <f t="shared" si="57"/>
        <v>-12</v>
      </c>
      <c r="H163" s="66">
        <f t="shared" si="58"/>
        <v>-24</v>
      </c>
      <c r="I163" s="67"/>
      <c r="J163" s="68"/>
      <c r="K163" s="66">
        <f t="shared" si="59"/>
        <v>-12</v>
      </c>
      <c r="L163" s="67">
        <f t="shared" si="60"/>
        <v>100</v>
      </c>
      <c r="M163" s="66">
        <f t="shared" si="61"/>
        <v>-24</v>
      </c>
      <c r="N163" s="66">
        <f t="shared" si="62"/>
        <v>0</v>
      </c>
      <c r="O163" s="66">
        <f t="shared" si="63"/>
        <v>124</v>
      </c>
      <c r="P163" s="68"/>
    </row>
    <row r="164" spans="1:16" ht="15.75" x14ac:dyDescent="0.25">
      <c r="A164" s="75"/>
      <c r="B164" s="78"/>
      <c r="C164" s="79"/>
      <c r="D164" s="65">
        <f t="shared" si="56"/>
        <v>2</v>
      </c>
      <c r="E164" s="68"/>
      <c r="F164" s="68"/>
      <c r="G164" s="66">
        <f t="shared" si="57"/>
        <v>-12</v>
      </c>
      <c r="H164" s="66">
        <f t="shared" si="58"/>
        <v>-24</v>
      </c>
      <c r="I164" s="67"/>
      <c r="J164" s="68"/>
      <c r="K164" s="66">
        <f t="shared" si="59"/>
        <v>-12</v>
      </c>
      <c r="L164" s="67">
        <f t="shared" si="60"/>
        <v>100</v>
      </c>
      <c r="M164" s="66">
        <f t="shared" si="61"/>
        <v>-24</v>
      </c>
      <c r="N164" s="66">
        <f t="shared" si="62"/>
        <v>0</v>
      </c>
      <c r="O164" s="66">
        <f t="shared" si="63"/>
        <v>124</v>
      </c>
      <c r="P164" s="68"/>
    </row>
    <row r="165" spans="1:16" ht="15.75" x14ac:dyDescent="0.25">
      <c r="A165" s="75"/>
      <c r="B165" s="78"/>
      <c r="C165" s="79"/>
      <c r="D165" s="65">
        <f t="shared" si="56"/>
        <v>2</v>
      </c>
      <c r="E165" s="68"/>
      <c r="F165" s="68"/>
      <c r="G165" s="66">
        <f t="shared" si="57"/>
        <v>-12</v>
      </c>
      <c r="H165" s="66">
        <f t="shared" si="58"/>
        <v>-24</v>
      </c>
      <c r="I165" s="67"/>
      <c r="J165" s="68"/>
      <c r="K165" s="66">
        <f t="shared" si="59"/>
        <v>-12</v>
      </c>
      <c r="L165" s="67">
        <f t="shared" si="60"/>
        <v>100</v>
      </c>
      <c r="M165" s="66">
        <f t="shared" si="61"/>
        <v>-24</v>
      </c>
      <c r="N165" s="66">
        <f t="shared" si="62"/>
        <v>0</v>
      </c>
      <c r="O165" s="66">
        <f t="shared" si="63"/>
        <v>124</v>
      </c>
      <c r="P165" s="68"/>
    </row>
    <row r="166" spans="1:16" ht="15.75" x14ac:dyDescent="0.25">
      <c r="A166" s="75"/>
      <c r="B166" s="78"/>
      <c r="C166" s="79"/>
      <c r="D166" s="65">
        <f t="shared" si="56"/>
        <v>2</v>
      </c>
      <c r="E166" s="68"/>
      <c r="F166" s="68"/>
      <c r="G166" s="66">
        <f t="shared" si="57"/>
        <v>-12</v>
      </c>
      <c r="H166" s="66">
        <f t="shared" si="58"/>
        <v>-24</v>
      </c>
      <c r="I166" s="67"/>
      <c r="J166" s="68"/>
      <c r="K166" s="66">
        <f t="shared" si="59"/>
        <v>-12</v>
      </c>
      <c r="L166" s="67">
        <f t="shared" si="60"/>
        <v>100</v>
      </c>
      <c r="M166" s="66">
        <f t="shared" si="61"/>
        <v>-24</v>
      </c>
      <c r="N166" s="66">
        <f t="shared" si="62"/>
        <v>0</v>
      </c>
      <c r="O166" s="66">
        <f t="shared" si="63"/>
        <v>124</v>
      </c>
      <c r="P166" s="68"/>
    </row>
    <row r="167" spans="1:16" ht="15.75" x14ac:dyDescent="0.25">
      <c r="A167" s="75"/>
      <c r="B167" s="78"/>
      <c r="C167" s="79"/>
      <c r="D167" s="65">
        <f t="shared" si="56"/>
        <v>2</v>
      </c>
      <c r="E167" s="68"/>
      <c r="F167" s="68"/>
      <c r="G167" s="66">
        <f t="shared" si="57"/>
        <v>-12</v>
      </c>
      <c r="H167" s="66">
        <f t="shared" si="58"/>
        <v>-24</v>
      </c>
      <c r="I167" s="67"/>
      <c r="J167" s="68"/>
      <c r="K167" s="66">
        <f t="shared" si="59"/>
        <v>-12</v>
      </c>
      <c r="L167" s="67">
        <f t="shared" si="60"/>
        <v>100</v>
      </c>
      <c r="M167" s="66">
        <f t="shared" si="61"/>
        <v>-24</v>
      </c>
      <c r="N167" s="66">
        <f t="shared" si="62"/>
        <v>0</v>
      </c>
      <c r="O167" s="66">
        <f t="shared" si="63"/>
        <v>124</v>
      </c>
      <c r="P167" s="68"/>
    </row>
    <row r="168" spans="1:16" ht="15.75" x14ac:dyDescent="0.25">
      <c r="A168" s="75"/>
      <c r="B168" s="78"/>
      <c r="C168" s="79"/>
      <c r="D168" s="65">
        <f t="shared" si="56"/>
        <v>2</v>
      </c>
      <c r="E168" s="68"/>
      <c r="F168" s="68"/>
      <c r="G168" s="66">
        <f t="shared" si="57"/>
        <v>-12</v>
      </c>
      <c r="H168" s="66">
        <f t="shared" si="58"/>
        <v>-24</v>
      </c>
      <c r="I168" s="67"/>
      <c r="J168" s="68"/>
      <c r="K168" s="66">
        <f t="shared" si="59"/>
        <v>-12</v>
      </c>
      <c r="L168" s="67">
        <f t="shared" si="60"/>
        <v>100</v>
      </c>
      <c r="M168" s="66">
        <f t="shared" si="61"/>
        <v>-24</v>
      </c>
      <c r="N168" s="66">
        <f t="shared" si="62"/>
        <v>0</v>
      </c>
      <c r="O168" s="66">
        <f t="shared" si="63"/>
        <v>124</v>
      </c>
      <c r="P168" s="68"/>
    </row>
    <row r="169" spans="1:16" ht="15.75" x14ac:dyDescent="0.25">
      <c r="A169" s="75"/>
      <c r="B169" s="78"/>
      <c r="C169" s="79"/>
      <c r="D169" s="65">
        <f t="shared" si="56"/>
        <v>2</v>
      </c>
      <c r="E169" s="68"/>
      <c r="F169" s="68"/>
      <c r="G169" s="66">
        <f t="shared" si="57"/>
        <v>-12</v>
      </c>
      <c r="H169" s="66">
        <f t="shared" si="58"/>
        <v>-24</v>
      </c>
      <c r="I169" s="67"/>
      <c r="J169" s="68"/>
      <c r="K169" s="66">
        <f t="shared" si="59"/>
        <v>-12</v>
      </c>
      <c r="L169" s="67">
        <f t="shared" si="60"/>
        <v>100</v>
      </c>
      <c r="M169" s="66">
        <f t="shared" si="61"/>
        <v>-24</v>
      </c>
      <c r="N169" s="66">
        <f t="shared" si="62"/>
        <v>0</v>
      </c>
      <c r="O169" s="66">
        <f t="shared" si="63"/>
        <v>124</v>
      </c>
      <c r="P169" s="68"/>
    </row>
    <row r="170" spans="1:16" ht="15.75" x14ac:dyDescent="0.25">
      <c r="A170" s="75"/>
      <c r="B170" s="78"/>
      <c r="C170" s="79"/>
      <c r="D170" s="65">
        <f t="shared" si="56"/>
        <v>2</v>
      </c>
      <c r="E170" s="68"/>
      <c r="F170" s="68"/>
      <c r="G170" s="66">
        <f t="shared" si="57"/>
        <v>-12</v>
      </c>
      <c r="H170" s="66">
        <f t="shared" si="58"/>
        <v>-24</v>
      </c>
      <c r="I170" s="67"/>
      <c r="J170" s="68"/>
      <c r="K170" s="66">
        <f t="shared" si="59"/>
        <v>-12</v>
      </c>
      <c r="L170" s="67">
        <f t="shared" si="60"/>
        <v>100</v>
      </c>
      <c r="M170" s="66">
        <f t="shared" si="61"/>
        <v>-24</v>
      </c>
      <c r="N170" s="66">
        <f t="shared" si="62"/>
        <v>0</v>
      </c>
      <c r="O170" s="66">
        <f t="shared" si="63"/>
        <v>124</v>
      </c>
      <c r="P170" s="68"/>
    </row>
    <row r="171" spans="1:16" ht="15.75" x14ac:dyDescent="0.25">
      <c r="A171" s="75"/>
      <c r="B171" s="78"/>
      <c r="C171" s="79"/>
      <c r="D171" s="65">
        <f t="shared" si="56"/>
        <v>2</v>
      </c>
      <c r="E171" s="68"/>
      <c r="F171" s="68"/>
      <c r="G171" s="66">
        <f t="shared" si="57"/>
        <v>-12</v>
      </c>
      <c r="H171" s="66">
        <f t="shared" si="58"/>
        <v>-24</v>
      </c>
      <c r="I171" s="67"/>
      <c r="J171" s="68"/>
      <c r="K171" s="66">
        <f t="shared" si="59"/>
        <v>-12</v>
      </c>
      <c r="L171" s="67">
        <f t="shared" si="60"/>
        <v>100</v>
      </c>
      <c r="M171" s="66">
        <f t="shared" si="61"/>
        <v>-24</v>
      </c>
      <c r="N171" s="66">
        <f t="shared" si="62"/>
        <v>0</v>
      </c>
      <c r="O171" s="66">
        <f t="shared" si="63"/>
        <v>124</v>
      </c>
      <c r="P171" s="68"/>
    </row>
    <row r="172" spans="1:16" ht="15.75" x14ac:dyDescent="0.25">
      <c r="A172" s="75"/>
      <c r="B172" s="78"/>
      <c r="C172" s="79"/>
      <c r="D172" s="65">
        <f t="shared" si="56"/>
        <v>2</v>
      </c>
      <c r="E172" s="68"/>
      <c r="F172" s="68"/>
      <c r="G172" s="66">
        <f t="shared" si="57"/>
        <v>-12</v>
      </c>
      <c r="H172" s="66">
        <f t="shared" si="58"/>
        <v>-24</v>
      </c>
      <c r="I172" s="67"/>
      <c r="J172" s="68"/>
      <c r="K172" s="66">
        <f t="shared" si="59"/>
        <v>-12</v>
      </c>
      <c r="L172" s="67">
        <f t="shared" si="60"/>
        <v>100</v>
      </c>
      <c r="M172" s="66">
        <f t="shared" si="61"/>
        <v>-24</v>
      </c>
      <c r="N172" s="66">
        <f t="shared" si="62"/>
        <v>0</v>
      </c>
      <c r="O172" s="66">
        <f t="shared" si="63"/>
        <v>124</v>
      </c>
      <c r="P172" s="68"/>
    </row>
    <row r="173" spans="1:16" ht="15.75" x14ac:dyDescent="0.25">
      <c r="A173" s="75"/>
      <c r="B173" s="78"/>
      <c r="C173" s="79"/>
      <c r="D173" s="65">
        <f t="shared" si="56"/>
        <v>2</v>
      </c>
      <c r="E173" s="68"/>
      <c r="F173" s="68"/>
      <c r="G173" s="66">
        <f t="shared" si="57"/>
        <v>-12</v>
      </c>
      <c r="H173" s="66">
        <f t="shared" si="58"/>
        <v>-24</v>
      </c>
      <c r="I173" s="67"/>
      <c r="J173" s="68"/>
      <c r="K173" s="66">
        <f t="shared" si="59"/>
        <v>-12</v>
      </c>
      <c r="L173" s="67">
        <f t="shared" si="60"/>
        <v>100</v>
      </c>
      <c r="M173" s="66">
        <f t="shared" si="61"/>
        <v>-24</v>
      </c>
      <c r="N173" s="66">
        <f t="shared" si="62"/>
        <v>0</v>
      </c>
      <c r="O173" s="66">
        <f t="shared" si="63"/>
        <v>124</v>
      </c>
      <c r="P173" s="68"/>
    </row>
    <row r="174" spans="1:16" ht="15.75" x14ac:dyDescent="0.25">
      <c r="A174" s="75"/>
      <c r="B174" s="78"/>
      <c r="C174" s="79"/>
      <c r="D174" s="65">
        <f t="shared" si="56"/>
        <v>2</v>
      </c>
      <c r="E174" s="68"/>
      <c r="F174" s="68"/>
      <c r="G174" s="66">
        <f t="shared" si="57"/>
        <v>-12</v>
      </c>
      <c r="H174" s="66">
        <f t="shared" si="58"/>
        <v>-24</v>
      </c>
      <c r="I174" s="67"/>
      <c r="J174" s="68"/>
      <c r="K174" s="66">
        <f t="shared" si="59"/>
        <v>-12</v>
      </c>
      <c r="L174" s="67">
        <f t="shared" si="60"/>
        <v>100</v>
      </c>
      <c r="M174" s="66">
        <f t="shared" si="61"/>
        <v>-24</v>
      </c>
      <c r="N174" s="66">
        <f t="shared" si="62"/>
        <v>0</v>
      </c>
      <c r="O174" s="66">
        <f t="shared" si="63"/>
        <v>124</v>
      </c>
      <c r="P174" s="68"/>
    </row>
    <row r="175" spans="1:16" ht="15.75" x14ac:dyDescent="0.25">
      <c r="A175" s="75"/>
      <c r="B175" s="78"/>
      <c r="C175" s="79"/>
      <c r="D175" s="65">
        <f t="shared" si="56"/>
        <v>2</v>
      </c>
      <c r="E175" s="68"/>
      <c r="F175" s="68"/>
      <c r="G175" s="66">
        <f t="shared" si="57"/>
        <v>-12</v>
      </c>
      <c r="H175" s="66">
        <f t="shared" si="58"/>
        <v>-24</v>
      </c>
      <c r="I175" s="67"/>
      <c r="J175" s="68"/>
      <c r="K175" s="66">
        <f t="shared" si="59"/>
        <v>-12</v>
      </c>
      <c r="L175" s="67">
        <f t="shared" si="60"/>
        <v>100</v>
      </c>
      <c r="M175" s="66">
        <f t="shared" si="61"/>
        <v>-24</v>
      </c>
      <c r="N175" s="66">
        <f t="shared" si="62"/>
        <v>0</v>
      </c>
      <c r="O175" s="66">
        <f t="shared" si="63"/>
        <v>124</v>
      </c>
      <c r="P175" s="68"/>
    </row>
    <row r="176" spans="1:16" ht="15.75" x14ac:dyDescent="0.25">
      <c r="A176" s="75"/>
      <c r="B176" s="78"/>
      <c r="C176" s="79"/>
      <c r="D176" s="65">
        <f t="shared" si="56"/>
        <v>2</v>
      </c>
      <c r="E176" s="68"/>
      <c r="F176" s="68"/>
      <c r="G176" s="66">
        <f t="shared" si="57"/>
        <v>-12</v>
      </c>
      <c r="H176" s="66">
        <f t="shared" si="58"/>
        <v>-24</v>
      </c>
      <c r="I176" s="67"/>
      <c r="J176" s="68"/>
      <c r="K176" s="66">
        <f t="shared" si="59"/>
        <v>-12</v>
      </c>
      <c r="L176" s="67">
        <f t="shared" si="60"/>
        <v>100</v>
      </c>
      <c r="M176" s="66">
        <f t="shared" si="61"/>
        <v>-24</v>
      </c>
      <c r="N176" s="66">
        <f t="shared" si="62"/>
        <v>0</v>
      </c>
      <c r="O176" s="66">
        <f t="shared" si="63"/>
        <v>124</v>
      </c>
      <c r="P176" s="68"/>
    </row>
    <row r="177" spans="1:16" ht="15.75" x14ac:dyDescent="0.25">
      <c r="A177" s="75"/>
      <c r="B177" s="78"/>
      <c r="C177" s="79"/>
      <c r="D177" s="65">
        <f t="shared" si="56"/>
        <v>2</v>
      </c>
      <c r="E177" s="68"/>
      <c r="F177" s="68"/>
      <c r="G177" s="66">
        <f t="shared" si="57"/>
        <v>-12</v>
      </c>
      <c r="H177" s="66">
        <f t="shared" si="58"/>
        <v>-24</v>
      </c>
      <c r="I177" s="67"/>
      <c r="J177" s="68"/>
      <c r="K177" s="66">
        <f t="shared" si="59"/>
        <v>-12</v>
      </c>
      <c r="L177" s="67">
        <f t="shared" si="60"/>
        <v>100</v>
      </c>
      <c r="M177" s="66">
        <f t="shared" si="61"/>
        <v>-24</v>
      </c>
      <c r="N177" s="66">
        <f t="shared" si="62"/>
        <v>0</v>
      </c>
      <c r="O177" s="66">
        <f t="shared" si="63"/>
        <v>124</v>
      </c>
      <c r="P177" s="68"/>
    </row>
    <row r="178" spans="1:16" ht="15.75" x14ac:dyDescent="0.25">
      <c r="A178" s="75"/>
      <c r="B178" s="78"/>
      <c r="C178" s="79"/>
      <c r="D178" s="65">
        <f t="shared" si="56"/>
        <v>2</v>
      </c>
      <c r="E178" s="68"/>
      <c r="F178" s="68"/>
      <c r="G178" s="66">
        <f t="shared" si="57"/>
        <v>-12</v>
      </c>
      <c r="H178" s="66">
        <f t="shared" si="58"/>
        <v>-24</v>
      </c>
      <c r="I178" s="67"/>
      <c r="J178" s="68"/>
      <c r="K178" s="66">
        <f t="shared" si="59"/>
        <v>-12</v>
      </c>
      <c r="L178" s="67">
        <f t="shared" si="60"/>
        <v>100</v>
      </c>
      <c r="M178" s="66">
        <f t="shared" si="61"/>
        <v>-24</v>
      </c>
      <c r="N178" s="66">
        <f t="shared" si="62"/>
        <v>0</v>
      </c>
      <c r="O178" s="66">
        <f t="shared" si="63"/>
        <v>124</v>
      </c>
      <c r="P178" s="68"/>
    </row>
    <row r="179" spans="1:16" ht="15.75" x14ac:dyDescent="0.25">
      <c r="A179" s="75"/>
      <c r="B179" s="78"/>
      <c r="C179" s="79"/>
      <c r="D179" s="65">
        <f t="shared" si="56"/>
        <v>2</v>
      </c>
      <c r="E179" s="68"/>
      <c r="F179" s="68"/>
      <c r="G179" s="66">
        <f t="shared" si="57"/>
        <v>-12</v>
      </c>
      <c r="H179" s="66">
        <f t="shared" si="58"/>
        <v>-24</v>
      </c>
      <c r="I179" s="67"/>
      <c r="J179" s="68"/>
      <c r="K179" s="66">
        <f t="shared" si="59"/>
        <v>-12</v>
      </c>
      <c r="L179" s="67">
        <f t="shared" si="60"/>
        <v>100</v>
      </c>
      <c r="M179" s="66">
        <f t="shared" si="61"/>
        <v>-24</v>
      </c>
      <c r="N179" s="66">
        <f t="shared" si="62"/>
        <v>0</v>
      </c>
      <c r="O179" s="66">
        <f t="shared" si="63"/>
        <v>124</v>
      </c>
      <c r="P179" s="68"/>
    </row>
    <row r="180" spans="1:16" ht="15.75" x14ac:dyDescent="0.25">
      <c r="A180" s="75"/>
      <c r="B180" s="78"/>
      <c r="C180" s="79"/>
      <c r="D180" s="65">
        <f t="shared" si="56"/>
        <v>2</v>
      </c>
      <c r="E180" s="68"/>
      <c r="F180" s="68"/>
      <c r="G180" s="66">
        <f t="shared" si="57"/>
        <v>-12</v>
      </c>
      <c r="H180" s="66">
        <f t="shared" si="58"/>
        <v>-24</v>
      </c>
      <c r="I180" s="67"/>
      <c r="J180" s="68"/>
      <c r="K180" s="66">
        <f t="shared" si="59"/>
        <v>-12</v>
      </c>
      <c r="L180" s="67">
        <f t="shared" si="60"/>
        <v>100</v>
      </c>
      <c r="M180" s="66">
        <f t="shared" si="61"/>
        <v>-24</v>
      </c>
      <c r="N180" s="66">
        <f t="shared" si="62"/>
        <v>0</v>
      </c>
      <c r="O180" s="66">
        <f t="shared" si="63"/>
        <v>124</v>
      </c>
      <c r="P180" s="68"/>
    </row>
    <row r="181" spans="1:16" ht="15.75" x14ac:dyDescent="0.25">
      <c r="A181" s="75"/>
      <c r="B181" s="78"/>
      <c r="C181" s="79"/>
      <c r="D181" s="65">
        <f t="shared" si="56"/>
        <v>2</v>
      </c>
      <c r="E181" s="68"/>
      <c r="F181" s="68"/>
      <c r="G181" s="66">
        <f t="shared" si="57"/>
        <v>-12</v>
      </c>
      <c r="H181" s="66">
        <f t="shared" si="58"/>
        <v>-24</v>
      </c>
      <c r="I181" s="67"/>
      <c r="J181" s="68"/>
      <c r="K181" s="66">
        <f t="shared" si="59"/>
        <v>-12</v>
      </c>
      <c r="L181" s="67">
        <f t="shared" si="60"/>
        <v>100</v>
      </c>
      <c r="M181" s="66">
        <f t="shared" si="61"/>
        <v>-24</v>
      </c>
      <c r="N181" s="66">
        <f t="shared" si="62"/>
        <v>0</v>
      </c>
      <c r="O181" s="66">
        <f t="shared" si="63"/>
        <v>124</v>
      </c>
      <c r="P181" s="68"/>
    </row>
    <row r="182" spans="1:16" ht="15.75" x14ac:dyDescent="0.25">
      <c r="A182" s="75"/>
      <c r="B182" s="78"/>
      <c r="C182" s="79"/>
      <c r="D182" s="65">
        <f t="shared" si="56"/>
        <v>2</v>
      </c>
      <c r="E182" s="68"/>
      <c r="F182" s="68"/>
      <c r="G182" s="66">
        <f t="shared" si="57"/>
        <v>-12</v>
      </c>
      <c r="H182" s="66">
        <f t="shared" si="58"/>
        <v>-24</v>
      </c>
      <c r="I182" s="67"/>
      <c r="J182" s="68"/>
      <c r="K182" s="66">
        <f t="shared" si="59"/>
        <v>-12</v>
      </c>
      <c r="L182" s="67">
        <f t="shared" si="60"/>
        <v>100</v>
      </c>
      <c r="M182" s="66">
        <f t="shared" si="61"/>
        <v>-24</v>
      </c>
      <c r="N182" s="66">
        <f t="shared" si="62"/>
        <v>0</v>
      </c>
      <c r="O182" s="66">
        <f t="shared" si="63"/>
        <v>124</v>
      </c>
      <c r="P182" s="68"/>
    </row>
    <row r="183" spans="1:16" ht="15.75" x14ac:dyDescent="0.25">
      <c r="A183" s="75"/>
      <c r="B183" s="78"/>
      <c r="C183" s="79"/>
      <c r="D183" s="65">
        <f t="shared" si="56"/>
        <v>2</v>
      </c>
      <c r="E183" s="68"/>
      <c r="F183" s="68"/>
      <c r="G183" s="66">
        <f t="shared" si="57"/>
        <v>-12</v>
      </c>
      <c r="H183" s="66">
        <f t="shared" si="58"/>
        <v>-24</v>
      </c>
      <c r="I183" s="67"/>
      <c r="J183" s="68"/>
      <c r="K183" s="66">
        <f t="shared" si="59"/>
        <v>-12</v>
      </c>
      <c r="L183" s="67">
        <f t="shared" si="60"/>
        <v>100</v>
      </c>
      <c r="M183" s="66">
        <f t="shared" si="61"/>
        <v>-24</v>
      </c>
      <c r="N183" s="66">
        <f t="shared" si="62"/>
        <v>0</v>
      </c>
      <c r="O183" s="66">
        <f t="shared" si="63"/>
        <v>124</v>
      </c>
      <c r="P183" s="68"/>
    </row>
    <row r="184" spans="1:16" ht="15.75" x14ac:dyDescent="0.25">
      <c r="A184" s="75"/>
      <c r="B184" s="78"/>
      <c r="C184" s="79"/>
      <c r="D184" s="65">
        <f t="shared" si="56"/>
        <v>2</v>
      </c>
      <c r="E184" s="68"/>
      <c r="F184" s="68"/>
      <c r="G184" s="66">
        <f t="shared" si="57"/>
        <v>-12</v>
      </c>
      <c r="H184" s="66">
        <f t="shared" si="58"/>
        <v>-24</v>
      </c>
      <c r="I184" s="67"/>
      <c r="J184" s="68"/>
      <c r="K184" s="66">
        <f t="shared" si="59"/>
        <v>-12</v>
      </c>
      <c r="L184" s="67">
        <f t="shared" si="60"/>
        <v>100</v>
      </c>
      <c r="M184" s="66">
        <f t="shared" si="61"/>
        <v>-24</v>
      </c>
      <c r="N184" s="66">
        <f t="shared" si="62"/>
        <v>0</v>
      </c>
      <c r="O184" s="66">
        <f t="shared" si="63"/>
        <v>124</v>
      </c>
      <c r="P184" s="68"/>
    </row>
    <row r="185" spans="1:16" ht="15.75" x14ac:dyDescent="0.25">
      <c r="A185" s="75"/>
      <c r="B185" s="78"/>
      <c r="C185" s="79"/>
      <c r="D185" s="65">
        <f t="shared" si="56"/>
        <v>2</v>
      </c>
      <c r="E185" s="68"/>
      <c r="F185" s="68"/>
      <c r="G185" s="66">
        <f t="shared" si="57"/>
        <v>-12</v>
      </c>
      <c r="H185" s="66">
        <f t="shared" si="58"/>
        <v>-24</v>
      </c>
      <c r="I185" s="67"/>
      <c r="J185" s="68"/>
      <c r="K185" s="66">
        <f t="shared" si="59"/>
        <v>-12</v>
      </c>
      <c r="L185" s="67">
        <f t="shared" si="60"/>
        <v>100</v>
      </c>
      <c r="M185" s="66">
        <f t="shared" si="61"/>
        <v>-24</v>
      </c>
      <c r="N185" s="66">
        <f t="shared" si="62"/>
        <v>0</v>
      </c>
      <c r="O185" s="66">
        <f t="shared" si="63"/>
        <v>124</v>
      </c>
      <c r="P185" s="68"/>
    </row>
    <row r="186" spans="1:16" ht="15.75" x14ac:dyDescent="0.25">
      <c r="A186" s="75"/>
      <c r="B186" s="78"/>
      <c r="C186" s="79"/>
      <c r="D186" s="65">
        <f t="shared" si="56"/>
        <v>2</v>
      </c>
      <c r="E186" s="68"/>
      <c r="F186" s="68"/>
      <c r="G186" s="66">
        <f t="shared" si="57"/>
        <v>-12</v>
      </c>
      <c r="H186" s="66">
        <f t="shared" si="58"/>
        <v>-24</v>
      </c>
      <c r="I186" s="67"/>
      <c r="J186" s="68"/>
      <c r="K186" s="66">
        <f t="shared" si="59"/>
        <v>-12</v>
      </c>
      <c r="L186" s="67">
        <f t="shared" si="60"/>
        <v>100</v>
      </c>
      <c r="M186" s="66">
        <f t="shared" si="61"/>
        <v>-24</v>
      </c>
      <c r="N186" s="66">
        <f t="shared" si="62"/>
        <v>0</v>
      </c>
      <c r="O186" s="66">
        <f t="shared" si="63"/>
        <v>124</v>
      </c>
      <c r="P186" s="68"/>
    </row>
    <row r="187" spans="1:16" ht="15.75" x14ac:dyDescent="0.25">
      <c r="A187" s="75"/>
      <c r="B187" s="78"/>
      <c r="C187" s="79"/>
      <c r="D187" s="65">
        <f t="shared" si="56"/>
        <v>2</v>
      </c>
      <c r="E187" s="68"/>
      <c r="F187" s="68"/>
      <c r="G187" s="66">
        <f t="shared" si="57"/>
        <v>-12</v>
      </c>
      <c r="H187" s="66">
        <f t="shared" si="58"/>
        <v>-24</v>
      </c>
      <c r="I187" s="67"/>
      <c r="J187" s="68"/>
      <c r="K187" s="66">
        <f t="shared" si="59"/>
        <v>-12</v>
      </c>
      <c r="L187" s="67">
        <f t="shared" si="60"/>
        <v>100</v>
      </c>
      <c r="M187" s="66">
        <f t="shared" si="61"/>
        <v>-24</v>
      </c>
      <c r="N187" s="66">
        <f t="shared" si="62"/>
        <v>0</v>
      </c>
      <c r="O187" s="66">
        <f t="shared" si="63"/>
        <v>124</v>
      </c>
      <c r="P187" s="68"/>
    </row>
    <row r="188" spans="1:16" ht="15.75" x14ac:dyDescent="0.25">
      <c r="A188" s="75"/>
      <c r="B188" s="78"/>
      <c r="C188" s="79"/>
      <c r="D188" s="65">
        <f t="shared" si="56"/>
        <v>2</v>
      </c>
      <c r="E188" s="68"/>
      <c r="F188" s="68"/>
      <c r="G188" s="66">
        <f t="shared" si="57"/>
        <v>-12</v>
      </c>
      <c r="H188" s="66">
        <f t="shared" si="58"/>
        <v>-24</v>
      </c>
      <c r="I188" s="67"/>
      <c r="J188" s="68"/>
      <c r="K188" s="66">
        <f t="shared" si="59"/>
        <v>-12</v>
      </c>
      <c r="L188" s="67">
        <f t="shared" si="60"/>
        <v>100</v>
      </c>
      <c r="M188" s="66">
        <f t="shared" si="61"/>
        <v>-24</v>
      </c>
      <c r="N188" s="66">
        <f t="shared" si="62"/>
        <v>0</v>
      </c>
      <c r="O188" s="66">
        <f t="shared" si="63"/>
        <v>124</v>
      </c>
      <c r="P188" s="68"/>
    </row>
    <row r="189" spans="1:16" ht="15.75" x14ac:dyDescent="0.25">
      <c r="A189" s="75"/>
      <c r="B189" s="78"/>
      <c r="C189" s="79"/>
      <c r="D189" s="65">
        <f t="shared" si="56"/>
        <v>2</v>
      </c>
      <c r="E189" s="68"/>
      <c r="F189" s="68"/>
      <c r="G189" s="66">
        <f t="shared" si="57"/>
        <v>-12</v>
      </c>
      <c r="H189" s="66">
        <f t="shared" si="58"/>
        <v>-24</v>
      </c>
      <c r="I189" s="67"/>
      <c r="J189" s="68"/>
      <c r="K189" s="66">
        <f t="shared" si="59"/>
        <v>-12</v>
      </c>
      <c r="L189" s="67">
        <f t="shared" si="60"/>
        <v>100</v>
      </c>
      <c r="M189" s="66">
        <f t="shared" si="61"/>
        <v>-24</v>
      </c>
      <c r="N189" s="66">
        <f t="shared" si="62"/>
        <v>0</v>
      </c>
      <c r="O189" s="66">
        <f t="shared" si="63"/>
        <v>124</v>
      </c>
      <c r="P189" s="68"/>
    </row>
    <row r="190" spans="1:16" ht="15.75" x14ac:dyDescent="0.25">
      <c r="A190" s="75"/>
      <c r="B190" s="78"/>
      <c r="C190" s="79"/>
      <c r="D190" s="65">
        <f t="shared" si="56"/>
        <v>2</v>
      </c>
      <c r="E190" s="68"/>
      <c r="F190" s="68"/>
      <c r="G190" s="66">
        <f t="shared" si="57"/>
        <v>-12</v>
      </c>
      <c r="H190" s="66">
        <f t="shared" si="58"/>
        <v>-24</v>
      </c>
      <c r="I190" s="67"/>
      <c r="J190" s="68"/>
      <c r="K190" s="66">
        <f t="shared" si="59"/>
        <v>-12</v>
      </c>
      <c r="L190" s="67">
        <f t="shared" si="60"/>
        <v>100</v>
      </c>
      <c r="M190" s="66">
        <f t="shared" si="61"/>
        <v>-24</v>
      </c>
      <c r="N190" s="66">
        <f t="shared" si="62"/>
        <v>0</v>
      </c>
      <c r="O190" s="66">
        <f t="shared" si="63"/>
        <v>124</v>
      </c>
      <c r="P190" s="68"/>
    </row>
    <row r="191" spans="1:16" ht="15.75" x14ac:dyDescent="0.25">
      <c r="A191" s="75"/>
      <c r="B191" s="78"/>
      <c r="C191" s="79"/>
      <c r="D191" s="65">
        <f t="shared" si="56"/>
        <v>2</v>
      </c>
      <c r="E191" s="68"/>
      <c r="F191" s="68"/>
      <c r="G191" s="66">
        <f t="shared" si="57"/>
        <v>-12</v>
      </c>
      <c r="H191" s="66">
        <f t="shared" si="58"/>
        <v>-24</v>
      </c>
      <c r="I191" s="67"/>
      <c r="J191" s="68"/>
      <c r="K191" s="66">
        <f t="shared" si="59"/>
        <v>-12</v>
      </c>
      <c r="L191" s="67">
        <f t="shared" si="60"/>
        <v>100</v>
      </c>
      <c r="M191" s="66">
        <f t="shared" si="61"/>
        <v>-24</v>
      </c>
      <c r="N191" s="66">
        <f t="shared" si="62"/>
        <v>0</v>
      </c>
      <c r="O191" s="66">
        <f t="shared" si="63"/>
        <v>124</v>
      </c>
      <c r="P191" s="68"/>
    </row>
    <row r="192" spans="1:16" ht="15.75" x14ac:dyDescent="0.25">
      <c r="A192" s="75"/>
      <c r="B192" s="78"/>
      <c r="C192" s="79"/>
      <c r="D192" s="65">
        <f t="shared" si="56"/>
        <v>2</v>
      </c>
      <c r="E192" s="68"/>
      <c r="F192" s="68"/>
      <c r="G192" s="66">
        <f t="shared" si="57"/>
        <v>-12</v>
      </c>
      <c r="H192" s="66">
        <f t="shared" si="58"/>
        <v>-24</v>
      </c>
      <c r="I192" s="67"/>
      <c r="J192" s="68"/>
      <c r="K192" s="66">
        <f t="shared" si="59"/>
        <v>-12</v>
      </c>
      <c r="L192" s="67">
        <f t="shared" si="60"/>
        <v>100</v>
      </c>
      <c r="M192" s="66">
        <f t="shared" si="61"/>
        <v>-24</v>
      </c>
      <c r="N192" s="66">
        <f t="shared" si="62"/>
        <v>0</v>
      </c>
      <c r="O192" s="66">
        <f t="shared" si="63"/>
        <v>124</v>
      </c>
      <c r="P192" s="68"/>
    </row>
    <row r="193" spans="1:16" ht="15.75" x14ac:dyDescent="0.25">
      <c r="A193" s="75"/>
      <c r="B193" s="78"/>
      <c r="C193" s="79"/>
      <c r="D193" s="65">
        <f t="shared" si="56"/>
        <v>2</v>
      </c>
      <c r="E193" s="68"/>
      <c r="F193" s="68"/>
      <c r="G193" s="66">
        <f t="shared" si="57"/>
        <v>-12</v>
      </c>
      <c r="H193" s="66">
        <f t="shared" si="58"/>
        <v>-24</v>
      </c>
      <c r="I193" s="67"/>
      <c r="J193" s="68"/>
      <c r="K193" s="66">
        <f t="shared" si="59"/>
        <v>-12</v>
      </c>
      <c r="L193" s="67">
        <f t="shared" si="60"/>
        <v>100</v>
      </c>
      <c r="M193" s="66">
        <f t="shared" si="61"/>
        <v>-24</v>
      </c>
      <c r="N193" s="66">
        <f t="shared" si="62"/>
        <v>0</v>
      </c>
      <c r="O193" s="66">
        <f t="shared" si="63"/>
        <v>124</v>
      </c>
      <c r="P193" s="68"/>
    </row>
    <row r="194" spans="1:16" ht="15.75" x14ac:dyDescent="0.25">
      <c r="A194" s="75"/>
      <c r="B194" s="78"/>
      <c r="C194" s="79"/>
      <c r="D194" s="65">
        <f t="shared" si="56"/>
        <v>2</v>
      </c>
      <c r="E194" s="68"/>
      <c r="F194" s="68"/>
      <c r="G194" s="66">
        <f t="shared" si="57"/>
        <v>-12</v>
      </c>
      <c r="H194" s="66">
        <f t="shared" si="58"/>
        <v>-24</v>
      </c>
      <c r="I194" s="67"/>
      <c r="J194" s="68"/>
      <c r="K194" s="66">
        <f t="shared" si="59"/>
        <v>-12</v>
      </c>
      <c r="L194" s="67">
        <f t="shared" si="60"/>
        <v>100</v>
      </c>
      <c r="M194" s="66">
        <f t="shared" si="61"/>
        <v>-24</v>
      </c>
      <c r="N194" s="66">
        <f t="shared" si="62"/>
        <v>0</v>
      </c>
      <c r="O194" s="66">
        <f t="shared" si="63"/>
        <v>124</v>
      </c>
      <c r="P194" s="68"/>
    </row>
    <row r="195" spans="1:16" ht="15.75" x14ac:dyDescent="0.25">
      <c r="A195" s="75"/>
      <c r="B195" s="78"/>
      <c r="C195" s="79"/>
      <c r="D195" s="65">
        <f t="shared" si="56"/>
        <v>2</v>
      </c>
      <c r="E195" s="68"/>
      <c r="F195" s="68"/>
      <c r="G195" s="66">
        <f t="shared" si="57"/>
        <v>-12</v>
      </c>
      <c r="H195" s="66">
        <f t="shared" si="58"/>
        <v>-24</v>
      </c>
      <c r="I195" s="67"/>
      <c r="J195" s="68"/>
      <c r="K195" s="66">
        <f t="shared" si="59"/>
        <v>-12</v>
      </c>
      <c r="L195" s="67">
        <f t="shared" si="60"/>
        <v>100</v>
      </c>
      <c r="M195" s="66">
        <f t="shared" si="61"/>
        <v>-24</v>
      </c>
      <c r="N195" s="66">
        <f t="shared" si="62"/>
        <v>0</v>
      </c>
      <c r="O195" s="66">
        <f t="shared" si="63"/>
        <v>124</v>
      </c>
      <c r="P195" s="68"/>
    </row>
    <row r="196" spans="1:16" ht="15.75" x14ac:dyDescent="0.25">
      <c r="A196" s="75"/>
      <c r="B196" s="78"/>
      <c r="C196" s="79"/>
      <c r="D196" s="65">
        <f t="shared" si="56"/>
        <v>2</v>
      </c>
      <c r="E196" s="68"/>
      <c r="F196" s="68"/>
      <c r="G196" s="66">
        <f t="shared" si="57"/>
        <v>-12</v>
      </c>
      <c r="H196" s="66">
        <f t="shared" si="58"/>
        <v>-24</v>
      </c>
      <c r="I196" s="67"/>
      <c r="J196" s="68"/>
      <c r="K196" s="66">
        <f t="shared" si="59"/>
        <v>-12</v>
      </c>
      <c r="L196" s="67">
        <f t="shared" si="60"/>
        <v>100</v>
      </c>
      <c r="M196" s="66">
        <f t="shared" si="61"/>
        <v>-24</v>
      </c>
      <c r="N196" s="66">
        <f t="shared" si="62"/>
        <v>0</v>
      </c>
      <c r="O196" s="66">
        <f t="shared" si="63"/>
        <v>124</v>
      </c>
      <c r="P196" s="68"/>
    </row>
    <row r="197" spans="1:16" ht="15.75" x14ac:dyDescent="0.25">
      <c r="A197" s="75"/>
      <c r="B197" s="78"/>
      <c r="C197" s="79"/>
      <c r="D197" s="65">
        <f t="shared" si="56"/>
        <v>2</v>
      </c>
      <c r="E197" s="68"/>
      <c r="F197" s="68"/>
      <c r="G197" s="66">
        <f t="shared" si="57"/>
        <v>-12</v>
      </c>
      <c r="H197" s="66">
        <f t="shared" si="58"/>
        <v>-24</v>
      </c>
      <c r="I197" s="67"/>
      <c r="J197" s="68"/>
      <c r="K197" s="66">
        <f t="shared" si="59"/>
        <v>-12</v>
      </c>
      <c r="L197" s="67">
        <f t="shared" si="60"/>
        <v>100</v>
      </c>
      <c r="M197" s="66">
        <f t="shared" si="61"/>
        <v>-24</v>
      </c>
      <c r="N197" s="66">
        <f t="shared" si="62"/>
        <v>0</v>
      </c>
      <c r="O197" s="66">
        <f t="shared" si="63"/>
        <v>124</v>
      </c>
      <c r="P197" s="68"/>
    </row>
    <row r="198" spans="1:16" ht="15.75" x14ac:dyDescent="0.25">
      <c r="A198" s="75"/>
      <c r="B198" s="78"/>
      <c r="C198" s="79"/>
      <c r="D198" s="65">
        <f t="shared" si="56"/>
        <v>2</v>
      </c>
      <c r="E198" s="68"/>
      <c r="F198" s="68"/>
      <c r="G198" s="66">
        <f t="shared" si="57"/>
        <v>-12</v>
      </c>
      <c r="H198" s="66">
        <f t="shared" si="58"/>
        <v>-24</v>
      </c>
      <c r="I198" s="67"/>
      <c r="J198" s="68"/>
      <c r="K198" s="66">
        <f t="shared" si="59"/>
        <v>-12</v>
      </c>
      <c r="L198" s="67">
        <f t="shared" si="60"/>
        <v>100</v>
      </c>
      <c r="M198" s="66">
        <f t="shared" si="61"/>
        <v>-24</v>
      </c>
      <c r="N198" s="66">
        <f t="shared" si="62"/>
        <v>0</v>
      </c>
      <c r="O198" s="66">
        <f t="shared" si="63"/>
        <v>124</v>
      </c>
      <c r="P198" s="68"/>
    </row>
    <row r="199" spans="1:16" ht="15.75" x14ac:dyDescent="0.25">
      <c r="A199" s="75"/>
      <c r="B199" s="78"/>
      <c r="C199" s="79"/>
      <c r="D199" s="65">
        <f t="shared" si="56"/>
        <v>2</v>
      </c>
      <c r="E199" s="68"/>
      <c r="F199" s="68"/>
      <c r="G199" s="66">
        <f t="shared" si="57"/>
        <v>-12</v>
      </c>
      <c r="H199" s="66">
        <f t="shared" si="58"/>
        <v>-24</v>
      </c>
      <c r="I199" s="67"/>
      <c r="J199" s="68"/>
      <c r="K199" s="66">
        <f t="shared" si="59"/>
        <v>-12</v>
      </c>
      <c r="L199" s="67">
        <f t="shared" si="60"/>
        <v>100</v>
      </c>
      <c r="M199" s="66">
        <f t="shared" si="61"/>
        <v>-24</v>
      </c>
      <c r="N199" s="66">
        <f t="shared" si="62"/>
        <v>0</v>
      </c>
      <c r="O199" s="66">
        <f t="shared" si="63"/>
        <v>124</v>
      </c>
      <c r="P199" s="68"/>
    </row>
    <row r="200" spans="1:16" ht="15.75" x14ac:dyDescent="0.25">
      <c r="A200" s="75"/>
      <c r="B200" s="78"/>
      <c r="C200" s="79"/>
      <c r="D200" s="65">
        <f t="shared" si="56"/>
        <v>2</v>
      </c>
      <c r="E200" s="68"/>
      <c r="F200" s="68"/>
      <c r="G200" s="66">
        <f t="shared" si="57"/>
        <v>-12</v>
      </c>
      <c r="H200" s="66">
        <f t="shared" si="58"/>
        <v>-24</v>
      </c>
      <c r="I200" s="67"/>
      <c r="J200" s="68"/>
      <c r="K200" s="66">
        <f t="shared" si="59"/>
        <v>-12</v>
      </c>
      <c r="L200" s="67">
        <f t="shared" si="60"/>
        <v>100</v>
      </c>
      <c r="M200" s="66">
        <f t="shared" si="61"/>
        <v>-24</v>
      </c>
      <c r="N200" s="66">
        <f t="shared" si="62"/>
        <v>0</v>
      </c>
      <c r="O200" s="66">
        <f t="shared" si="63"/>
        <v>124</v>
      </c>
      <c r="P200" s="68"/>
    </row>
    <row r="201" spans="1:16" ht="15.75" x14ac:dyDescent="0.25">
      <c r="A201" s="75"/>
      <c r="B201" s="78"/>
      <c r="C201" s="79"/>
      <c r="D201" s="65">
        <f t="shared" si="56"/>
        <v>2</v>
      </c>
      <c r="E201" s="68"/>
      <c r="F201" s="68"/>
      <c r="G201" s="66">
        <f t="shared" si="57"/>
        <v>-12</v>
      </c>
      <c r="H201" s="66">
        <f t="shared" si="58"/>
        <v>-24</v>
      </c>
      <c r="I201" s="67"/>
      <c r="J201" s="68"/>
      <c r="K201" s="66">
        <f t="shared" si="59"/>
        <v>-12</v>
      </c>
      <c r="L201" s="67">
        <f t="shared" si="60"/>
        <v>100</v>
      </c>
      <c r="M201" s="66">
        <f t="shared" si="61"/>
        <v>-24</v>
      </c>
      <c r="N201" s="66">
        <f t="shared" si="62"/>
        <v>0</v>
      </c>
      <c r="O201" s="66">
        <f t="shared" si="63"/>
        <v>124</v>
      </c>
      <c r="P201" s="68"/>
    </row>
    <row r="202" spans="1:16" ht="15.75" x14ac:dyDescent="0.25">
      <c r="A202" s="75"/>
      <c r="B202" s="78"/>
      <c r="C202" s="79"/>
      <c r="D202" s="65">
        <f t="shared" si="56"/>
        <v>2</v>
      </c>
      <c r="E202" s="68"/>
      <c r="F202" s="68"/>
      <c r="G202" s="66">
        <f t="shared" si="57"/>
        <v>-12</v>
      </c>
      <c r="H202" s="66">
        <f t="shared" si="58"/>
        <v>-24</v>
      </c>
      <c r="I202" s="67"/>
      <c r="J202" s="68"/>
      <c r="K202" s="66">
        <f t="shared" si="59"/>
        <v>-12</v>
      </c>
      <c r="L202" s="67">
        <f t="shared" si="60"/>
        <v>100</v>
      </c>
      <c r="M202" s="66">
        <f t="shared" si="61"/>
        <v>-24</v>
      </c>
      <c r="N202" s="66">
        <f t="shared" si="62"/>
        <v>0</v>
      </c>
      <c r="O202" s="66">
        <f t="shared" si="63"/>
        <v>124</v>
      </c>
      <c r="P202" s="68"/>
    </row>
    <row r="203" spans="1:16" ht="15.75" x14ac:dyDescent="0.25">
      <c r="A203" s="75"/>
      <c r="B203" s="78"/>
      <c r="C203" s="79"/>
      <c r="D203" s="65">
        <f t="shared" si="56"/>
        <v>2</v>
      </c>
      <c r="E203" s="68"/>
      <c r="F203" s="68"/>
      <c r="G203" s="66">
        <f t="shared" si="57"/>
        <v>-12</v>
      </c>
      <c r="H203" s="66">
        <f t="shared" si="58"/>
        <v>-24</v>
      </c>
      <c r="I203" s="67"/>
      <c r="J203" s="68"/>
      <c r="K203" s="66">
        <f t="shared" si="59"/>
        <v>-12</v>
      </c>
      <c r="L203" s="67">
        <f t="shared" si="60"/>
        <v>100</v>
      </c>
      <c r="M203" s="66">
        <f t="shared" si="61"/>
        <v>-24</v>
      </c>
      <c r="N203" s="66">
        <f t="shared" si="62"/>
        <v>0</v>
      </c>
      <c r="O203" s="66">
        <f t="shared" si="63"/>
        <v>124</v>
      </c>
      <c r="P203" s="68"/>
    </row>
    <row r="204" spans="1:16" ht="15.75" x14ac:dyDescent="0.25">
      <c r="A204" s="75"/>
      <c r="B204" s="78"/>
      <c r="C204" s="79"/>
      <c r="D204" s="65">
        <f t="shared" si="56"/>
        <v>2</v>
      </c>
      <c r="E204" s="68"/>
      <c r="F204" s="68"/>
      <c r="G204" s="66">
        <f t="shared" si="57"/>
        <v>-12</v>
      </c>
      <c r="H204" s="66">
        <f t="shared" si="58"/>
        <v>-24</v>
      </c>
      <c r="I204" s="67"/>
      <c r="J204" s="68"/>
      <c r="K204" s="66">
        <f t="shared" si="59"/>
        <v>-12</v>
      </c>
      <c r="L204" s="67">
        <f t="shared" si="60"/>
        <v>100</v>
      </c>
      <c r="M204" s="66">
        <f t="shared" si="61"/>
        <v>-24</v>
      </c>
      <c r="N204" s="66">
        <f t="shared" si="62"/>
        <v>0</v>
      </c>
      <c r="O204" s="66">
        <f t="shared" si="63"/>
        <v>124</v>
      </c>
      <c r="P204" s="68"/>
    </row>
    <row r="205" spans="1:16" ht="15.75" x14ac:dyDescent="0.25">
      <c r="A205" s="75"/>
      <c r="B205" s="78"/>
      <c r="C205" s="79"/>
      <c r="D205" s="65">
        <f t="shared" si="56"/>
        <v>2</v>
      </c>
      <c r="E205" s="68"/>
      <c r="F205" s="68"/>
      <c r="G205" s="66">
        <f t="shared" si="57"/>
        <v>-12</v>
      </c>
      <c r="H205" s="66">
        <f t="shared" si="58"/>
        <v>-24</v>
      </c>
      <c r="I205" s="67"/>
      <c r="J205" s="68"/>
      <c r="K205" s="66">
        <f t="shared" si="59"/>
        <v>-12</v>
      </c>
      <c r="L205" s="67">
        <f t="shared" si="60"/>
        <v>100</v>
      </c>
      <c r="M205" s="66">
        <f t="shared" si="61"/>
        <v>-24</v>
      </c>
      <c r="N205" s="66">
        <f t="shared" si="62"/>
        <v>0</v>
      </c>
      <c r="O205" s="66">
        <f t="shared" si="63"/>
        <v>124</v>
      </c>
      <c r="P205" s="68"/>
    </row>
    <row r="206" spans="1:16" ht="15.75" x14ac:dyDescent="0.25">
      <c r="A206" s="75"/>
      <c r="B206" s="78"/>
      <c r="C206" s="79"/>
      <c r="D206" s="65">
        <f t="shared" si="56"/>
        <v>2</v>
      </c>
      <c r="E206" s="68"/>
      <c r="F206" s="68"/>
      <c r="G206" s="66">
        <f t="shared" si="57"/>
        <v>-12</v>
      </c>
      <c r="H206" s="66">
        <f t="shared" si="58"/>
        <v>-24</v>
      </c>
      <c r="I206" s="67"/>
      <c r="J206" s="68"/>
      <c r="K206" s="66">
        <f t="shared" si="59"/>
        <v>-12</v>
      </c>
      <c r="L206" s="67">
        <f t="shared" si="60"/>
        <v>100</v>
      </c>
      <c r="M206" s="66">
        <f t="shared" si="61"/>
        <v>-24</v>
      </c>
      <c r="N206" s="66">
        <f t="shared" si="62"/>
        <v>0</v>
      </c>
      <c r="O206" s="66">
        <f t="shared" si="63"/>
        <v>124</v>
      </c>
      <c r="P206" s="68"/>
    </row>
    <row r="207" spans="1:16" ht="15.75" x14ac:dyDescent="0.25">
      <c r="A207" s="75"/>
      <c r="B207" s="78"/>
      <c r="C207" s="79"/>
      <c r="D207" s="65">
        <f t="shared" si="56"/>
        <v>2</v>
      </c>
      <c r="E207" s="68"/>
      <c r="F207" s="68"/>
      <c r="G207" s="66">
        <f t="shared" si="57"/>
        <v>-12</v>
      </c>
      <c r="H207" s="66">
        <f t="shared" si="58"/>
        <v>-24</v>
      </c>
      <c r="I207" s="67"/>
      <c r="J207" s="68"/>
      <c r="K207" s="66">
        <f t="shared" si="59"/>
        <v>-12</v>
      </c>
      <c r="L207" s="67">
        <f t="shared" si="60"/>
        <v>100</v>
      </c>
      <c r="M207" s="66">
        <f t="shared" si="61"/>
        <v>-24</v>
      </c>
      <c r="N207" s="66">
        <f t="shared" si="62"/>
        <v>0</v>
      </c>
      <c r="O207" s="66">
        <f t="shared" si="63"/>
        <v>124</v>
      </c>
      <c r="P207" s="68"/>
    </row>
    <row r="208" spans="1:16" ht="15.75" x14ac:dyDescent="0.25">
      <c r="A208" s="75"/>
      <c r="B208" s="78"/>
      <c r="C208" s="79"/>
      <c r="D208" s="65">
        <f t="shared" ref="D208:D219" si="64">+(200/(100-C208))</f>
        <v>2</v>
      </c>
      <c r="E208" s="68"/>
      <c r="F208" s="68"/>
      <c r="G208" s="66">
        <f t="shared" ref="G208:G219" si="65">+((F208-60)*0.2+(E208))</f>
        <v>-12</v>
      </c>
      <c r="H208" s="66">
        <f t="shared" ref="H208:H219" si="66">+(G208*D208)</f>
        <v>-24</v>
      </c>
      <c r="I208" s="67"/>
      <c r="J208" s="68"/>
      <c r="K208" s="66">
        <f t="shared" ref="K208:K219" si="67">+((J208-60)*0.2+(I208))</f>
        <v>-12</v>
      </c>
      <c r="L208" s="67">
        <f t="shared" ref="L208:L219" si="68">+(M208+N208+O208)</f>
        <v>100</v>
      </c>
      <c r="M208" s="66">
        <f t="shared" ref="M208:M219" si="69">+(K208*D208)</f>
        <v>-24</v>
      </c>
      <c r="N208" s="66">
        <f t="shared" ref="N208:N219" si="70">+(H208-M208)</f>
        <v>0</v>
      </c>
      <c r="O208" s="66">
        <f t="shared" ref="O208:O219" si="71">+(100-H208)</f>
        <v>124</v>
      </c>
      <c r="P208" s="68"/>
    </row>
    <row r="209" spans="1:16" ht="15.75" x14ac:dyDescent="0.25">
      <c r="A209" s="75"/>
      <c r="B209" s="78"/>
      <c r="C209" s="79"/>
      <c r="D209" s="65">
        <f t="shared" si="64"/>
        <v>2</v>
      </c>
      <c r="E209" s="68"/>
      <c r="F209" s="68"/>
      <c r="G209" s="66">
        <f t="shared" si="65"/>
        <v>-12</v>
      </c>
      <c r="H209" s="66">
        <f t="shared" si="66"/>
        <v>-24</v>
      </c>
      <c r="I209" s="67"/>
      <c r="J209" s="68"/>
      <c r="K209" s="66">
        <f t="shared" si="67"/>
        <v>-12</v>
      </c>
      <c r="L209" s="67">
        <f t="shared" si="68"/>
        <v>100</v>
      </c>
      <c r="M209" s="66">
        <f t="shared" si="69"/>
        <v>-24</v>
      </c>
      <c r="N209" s="66">
        <f t="shared" si="70"/>
        <v>0</v>
      </c>
      <c r="O209" s="66">
        <f t="shared" si="71"/>
        <v>124</v>
      </c>
      <c r="P209" s="68"/>
    </row>
    <row r="210" spans="1:16" ht="15.75" x14ac:dyDescent="0.25">
      <c r="A210" s="75"/>
      <c r="B210" s="78"/>
      <c r="C210" s="79"/>
      <c r="D210" s="65">
        <f t="shared" si="64"/>
        <v>2</v>
      </c>
      <c r="E210" s="68"/>
      <c r="F210" s="68"/>
      <c r="G210" s="66">
        <f t="shared" si="65"/>
        <v>-12</v>
      </c>
      <c r="H210" s="66">
        <f t="shared" si="66"/>
        <v>-24</v>
      </c>
      <c r="I210" s="67"/>
      <c r="J210" s="68"/>
      <c r="K210" s="66">
        <f t="shared" si="67"/>
        <v>-12</v>
      </c>
      <c r="L210" s="67">
        <f t="shared" si="68"/>
        <v>100</v>
      </c>
      <c r="M210" s="66">
        <f t="shared" si="69"/>
        <v>-24</v>
      </c>
      <c r="N210" s="66">
        <f t="shared" si="70"/>
        <v>0</v>
      </c>
      <c r="O210" s="66">
        <f t="shared" si="71"/>
        <v>124</v>
      </c>
      <c r="P210" s="68"/>
    </row>
    <row r="211" spans="1:16" ht="15.75" x14ac:dyDescent="0.25">
      <c r="A211" s="75"/>
      <c r="B211" s="78"/>
      <c r="C211" s="79"/>
      <c r="D211" s="65">
        <f t="shared" si="64"/>
        <v>2</v>
      </c>
      <c r="E211" s="68"/>
      <c r="F211" s="68"/>
      <c r="G211" s="66">
        <f t="shared" si="65"/>
        <v>-12</v>
      </c>
      <c r="H211" s="66">
        <f t="shared" si="66"/>
        <v>-24</v>
      </c>
      <c r="I211" s="67"/>
      <c r="J211" s="68"/>
      <c r="K211" s="66">
        <f t="shared" si="67"/>
        <v>-12</v>
      </c>
      <c r="L211" s="67">
        <f t="shared" si="68"/>
        <v>100</v>
      </c>
      <c r="M211" s="66">
        <f t="shared" si="69"/>
        <v>-24</v>
      </c>
      <c r="N211" s="66">
        <f t="shared" si="70"/>
        <v>0</v>
      </c>
      <c r="O211" s="66">
        <f t="shared" si="71"/>
        <v>124</v>
      </c>
      <c r="P211" s="68"/>
    </row>
    <row r="212" spans="1:16" ht="15.75" x14ac:dyDescent="0.25">
      <c r="A212" s="75"/>
      <c r="B212" s="78"/>
      <c r="C212" s="79"/>
      <c r="D212" s="65">
        <f t="shared" si="64"/>
        <v>2</v>
      </c>
      <c r="E212" s="68"/>
      <c r="F212" s="68"/>
      <c r="G212" s="66">
        <f t="shared" si="65"/>
        <v>-12</v>
      </c>
      <c r="H212" s="66">
        <f t="shared" si="66"/>
        <v>-24</v>
      </c>
      <c r="I212" s="67"/>
      <c r="J212" s="68"/>
      <c r="K212" s="66">
        <f t="shared" si="67"/>
        <v>-12</v>
      </c>
      <c r="L212" s="67">
        <f t="shared" si="68"/>
        <v>100</v>
      </c>
      <c r="M212" s="66">
        <f t="shared" si="69"/>
        <v>-24</v>
      </c>
      <c r="N212" s="66">
        <f t="shared" si="70"/>
        <v>0</v>
      </c>
      <c r="O212" s="66">
        <f t="shared" si="71"/>
        <v>124</v>
      </c>
      <c r="P212" s="68"/>
    </row>
    <row r="213" spans="1:16" ht="15.75" x14ac:dyDescent="0.25">
      <c r="A213" s="75"/>
      <c r="B213" s="78"/>
      <c r="C213" s="79"/>
      <c r="D213" s="65">
        <f t="shared" si="64"/>
        <v>2</v>
      </c>
      <c r="E213" s="68"/>
      <c r="F213" s="68"/>
      <c r="G213" s="66">
        <f t="shared" si="65"/>
        <v>-12</v>
      </c>
      <c r="H213" s="66">
        <f t="shared" si="66"/>
        <v>-24</v>
      </c>
      <c r="I213" s="67"/>
      <c r="J213" s="68"/>
      <c r="K213" s="66">
        <f t="shared" si="67"/>
        <v>-12</v>
      </c>
      <c r="L213" s="67">
        <f t="shared" si="68"/>
        <v>100</v>
      </c>
      <c r="M213" s="66">
        <f t="shared" si="69"/>
        <v>-24</v>
      </c>
      <c r="N213" s="66">
        <f t="shared" si="70"/>
        <v>0</v>
      </c>
      <c r="O213" s="66">
        <f t="shared" si="71"/>
        <v>124</v>
      </c>
      <c r="P213" s="68"/>
    </row>
    <row r="214" spans="1:16" ht="15.75" x14ac:dyDescent="0.25">
      <c r="A214" s="75"/>
      <c r="B214" s="78"/>
      <c r="C214" s="79"/>
      <c r="D214" s="65">
        <f t="shared" si="64"/>
        <v>2</v>
      </c>
      <c r="E214" s="68"/>
      <c r="F214" s="68"/>
      <c r="G214" s="66">
        <f t="shared" si="65"/>
        <v>-12</v>
      </c>
      <c r="H214" s="66">
        <f t="shared" si="66"/>
        <v>-24</v>
      </c>
      <c r="I214" s="67"/>
      <c r="J214" s="68"/>
      <c r="K214" s="66">
        <f t="shared" si="67"/>
        <v>-12</v>
      </c>
      <c r="L214" s="67">
        <f t="shared" si="68"/>
        <v>100</v>
      </c>
      <c r="M214" s="66">
        <f t="shared" si="69"/>
        <v>-24</v>
      </c>
      <c r="N214" s="66">
        <f t="shared" si="70"/>
        <v>0</v>
      </c>
      <c r="O214" s="66">
        <f t="shared" si="71"/>
        <v>124</v>
      </c>
      <c r="P214" s="68"/>
    </row>
    <row r="215" spans="1:16" ht="15.75" x14ac:dyDescent="0.25">
      <c r="A215" s="75"/>
      <c r="B215" s="78"/>
      <c r="C215" s="79"/>
      <c r="D215" s="65">
        <f t="shared" si="64"/>
        <v>2</v>
      </c>
      <c r="E215" s="68"/>
      <c r="F215" s="68"/>
      <c r="G215" s="66">
        <f t="shared" si="65"/>
        <v>-12</v>
      </c>
      <c r="H215" s="66">
        <f t="shared" si="66"/>
        <v>-24</v>
      </c>
      <c r="I215" s="67"/>
      <c r="J215" s="68"/>
      <c r="K215" s="66">
        <f t="shared" si="67"/>
        <v>-12</v>
      </c>
      <c r="L215" s="67">
        <f t="shared" si="68"/>
        <v>100</v>
      </c>
      <c r="M215" s="66">
        <f t="shared" si="69"/>
        <v>-24</v>
      </c>
      <c r="N215" s="66">
        <f t="shared" si="70"/>
        <v>0</v>
      </c>
      <c r="O215" s="66">
        <f t="shared" si="71"/>
        <v>124</v>
      </c>
      <c r="P215" s="68"/>
    </row>
    <row r="216" spans="1:16" ht="15.75" x14ac:dyDescent="0.25">
      <c r="A216" s="75"/>
      <c r="B216" s="78"/>
      <c r="C216" s="79"/>
      <c r="D216" s="65">
        <f t="shared" si="64"/>
        <v>2</v>
      </c>
      <c r="E216" s="68"/>
      <c r="F216" s="68"/>
      <c r="G216" s="66">
        <f t="shared" si="65"/>
        <v>-12</v>
      </c>
      <c r="H216" s="66">
        <f t="shared" si="66"/>
        <v>-24</v>
      </c>
      <c r="I216" s="67"/>
      <c r="J216" s="68"/>
      <c r="K216" s="66">
        <f t="shared" si="67"/>
        <v>-12</v>
      </c>
      <c r="L216" s="67">
        <f t="shared" si="68"/>
        <v>100</v>
      </c>
      <c r="M216" s="66">
        <f t="shared" si="69"/>
        <v>-24</v>
      </c>
      <c r="N216" s="66">
        <f t="shared" si="70"/>
        <v>0</v>
      </c>
      <c r="O216" s="66">
        <f t="shared" si="71"/>
        <v>124</v>
      </c>
      <c r="P216" s="68"/>
    </row>
    <row r="217" spans="1:16" ht="15.75" x14ac:dyDescent="0.25">
      <c r="A217" s="75"/>
      <c r="B217" s="78"/>
      <c r="C217" s="79"/>
      <c r="D217" s="65">
        <f t="shared" si="64"/>
        <v>2</v>
      </c>
      <c r="E217" s="68"/>
      <c r="F217" s="68"/>
      <c r="G217" s="66">
        <f t="shared" si="65"/>
        <v>-12</v>
      </c>
      <c r="H217" s="66">
        <f t="shared" si="66"/>
        <v>-24</v>
      </c>
      <c r="I217" s="67"/>
      <c r="J217" s="68"/>
      <c r="K217" s="66">
        <f t="shared" si="67"/>
        <v>-12</v>
      </c>
      <c r="L217" s="67">
        <f t="shared" si="68"/>
        <v>100</v>
      </c>
      <c r="M217" s="66">
        <f t="shared" si="69"/>
        <v>-24</v>
      </c>
      <c r="N217" s="66">
        <f t="shared" si="70"/>
        <v>0</v>
      </c>
      <c r="O217" s="66">
        <f t="shared" si="71"/>
        <v>124</v>
      </c>
      <c r="P217" s="68"/>
    </row>
    <row r="218" spans="1:16" ht="15.75" x14ac:dyDescent="0.25">
      <c r="A218" s="75"/>
      <c r="B218" s="78"/>
      <c r="C218" s="79"/>
      <c r="D218" s="65">
        <f t="shared" si="64"/>
        <v>2</v>
      </c>
      <c r="E218" s="68"/>
      <c r="F218" s="68"/>
      <c r="G218" s="66">
        <f t="shared" si="65"/>
        <v>-12</v>
      </c>
      <c r="H218" s="66">
        <f t="shared" si="66"/>
        <v>-24</v>
      </c>
      <c r="I218" s="67"/>
      <c r="J218" s="68"/>
      <c r="K218" s="66">
        <f t="shared" si="67"/>
        <v>-12</v>
      </c>
      <c r="L218" s="67">
        <f t="shared" si="68"/>
        <v>100</v>
      </c>
      <c r="M218" s="66">
        <f t="shared" si="69"/>
        <v>-24</v>
      </c>
      <c r="N218" s="66">
        <f t="shared" si="70"/>
        <v>0</v>
      </c>
      <c r="O218" s="66">
        <f t="shared" si="71"/>
        <v>124</v>
      </c>
      <c r="P218" s="68"/>
    </row>
    <row r="219" spans="1:16" ht="15.75" x14ac:dyDescent="0.25">
      <c r="A219" s="75"/>
      <c r="B219" s="78"/>
      <c r="C219" s="79"/>
      <c r="D219" s="65">
        <f t="shared" si="64"/>
        <v>2</v>
      </c>
      <c r="E219" s="68"/>
      <c r="F219" s="68"/>
      <c r="G219" s="66">
        <f t="shared" si="65"/>
        <v>-12</v>
      </c>
      <c r="H219" s="66">
        <f t="shared" si="66"/>
        <v>-24</v>
      </c>
      <c r="I219" s="67"/>
      <c r="J219" s="68"/>
      <c r="K219" s="66">
        <f t="shared" si="67"/>
        <v>-12</v>
      </c>
      <c r="L219" s="67">
        <f t="shared" si="68"/>
        <v>100</v>
      </c>
      <c r="M219" s="66">
        <f t="shared" si="69"/>
        <v>-24</v>
      </c>
      <c r="N219" s="66">
        <f t="shared" si="70"/>
        <v>0</v>
      </c>
      <c r="O219" s="66">
        <f t="shared" si="71"/>
        <v>124</v>
      </c>
      <c r="P219" s="68"/>
    </row>
    <row r="220" spans="1:16" ht="15.75" x14ac:dyDescent="0.25">
      <c r="A220" s="33"/>
      <c r="B220" s="12"/>
      <c r="C220" s="29"/>
      <c r="D220" s="73"/>
      <c r="E220" s="12"/>
      <c r="F220" s="12"/>
      <c r="G220" s="17"/>
      <c r="H220" s="72"/>
      <c r="I220" s="12"/>
      <c r="J220" s="12"/>
      <c r="K220" s="17"/>
      <c r="L220" s="74"/>
      <c r="M220" s="72"/>
      <c r="N220" s="72"/>
      <c r="O220" s="72"/>
      <c r="P220" s="17"/>
    </row>
    <row r="221" spans="1:16" ht="15.75" x14ac:dyDescent="0.25">
      <c r="A221" s="33"/>
      <c r="B221" s="12"/>
      <c r="C221" s="29"/>
      <c r="D221" s="73"/>
      <c r="E221" s="12"/>
      <c r="F221" s="12"/>
      <c r="G221" s="17"/>
      <c r="H221" s="72"/>
      <c r="I221" s="12"/>
      <c r="J221" s="12"/>
      <c r="K221" s="17"/>
      <c r="L221" s="74"/>
      <c r="M221" s="72"/>
      <c r="N221" s="72"/>
      <c r="O221" s="72"/>
      <c r="P221" s="17"/>
    </row>
    <row r="222" spans="1:16" ht="15.75" x14ac:dyDescent="0.25">
      <c r="A222" s="33"/>
      <c r="B222" s="12"/>
      <c r="C222" s="29"/>
      <c r="D222" s="73"/>
      <c r="E222" s="12"/>
      <c r="F222" s="12"/>
      <c r="G222" s="17"/>
      <c r="H222" s="72"/>
      <c r="I222" s="12"/>
      <c r="J222" s="12"/>
      <c r="K222" s="17"/>
      <c r="L222" s="74"/>
      <c r="M222" s="72"/>
      <c r="N222" s="72"/>
      <c r="O222" s="72"/>
      <c r="P222" s="17"/>
    </row>
    <row r="223" spans="1:16" ht="15.75" x14ac:dyDescent="0.25">
      <c r="A223" s="33"/>
      <c r="B223" s="12"/>
      <c r="C223" s="29"/>
      <c r="D223" s="73"/>
      <c r="E223" s="12"/>
      <c r="F223" s="12"/>
      <c r="G223" s="17"/>
      <c r="H223" s="72"/>
      <c r="I223" s="12"/>
      <c r="J223" s="12"/>
      <c r="K223" s="17"/>
      <c r="L223" s="74"/>
      <c r="M223" s="72"/>
      <c r="N223" s="72"/>
      <c r="O223" s="72"/>
      <c r="P223" s="17"/>
    </row>
    <row r="224" spans="1:16" ht="15.75" x14ac:dyDescent="0.25">
      <c r="A224" s="33"/>
      <c r="B224" s="12"/>
      <c r="C224" s="29"/>
      <c r="D224" s="73"/>
      <c r="E224" s="12"/>
      <c r="F224" s="12"/>
      <c r="G224" s="17"/>
      <c r="H224" s="72"/>
      <c r="I224" s="12"/>
      <c r="J224" s="12"/>
      <c r="K224" s="17"/>
      <c r="L224" s="74"/>
      <c r="M224" s="72"/>
      <c r="N224" s="72"/>
      <c r="O224" s="72"/>
      <c r="P224" s="17"/>
    </row>
    <row r="225" spans="1:16" ht="15.75" x14ac:dyDescent="0.25">
      <c r="A225" s="33"/>
      <c r="B225" s="12"/>
      <c r="C225" s="29"/>
      <c r="D225" s="73"/>
      <c r="E225" s="12"/>
      <c r="F225" s="12"/>
      <c r="G225" s="17"/>
      <c r="H225" s="72"/>
      <c r="I225" s="12"/>
      <c r="J225" s="12"/>
      <c r="K225" s="17"/>
      <c r="L225" s="74"/>
      <c r="M225" s="72"/>
      <c r="N225" s="72"/>
      <c r="O225" s="72"/>
      <c r="P225" s="17"/>
    </row>
  </sheetData>
  <mergeCells count="1">
    <mergeCell ref="A1:P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4BBB-F59E-4723-A3EE-5CAB92CA38D5}">
  <sheetPr>
    <tabColor theme="9"/>
  </sheetPr>
  <dimension ref="A1:G21"/>
  <sheetViews>
    <sheetView zoomScale="88" zoomScaleNormal="88" workbookViewId="0">
      <pane ySplit="2" topLeftCell="A3" activePane="bottomLeft" state="frozen"/>
      <selection pane="bottomLeft" activeCell="H22" sqref="H22"/>
    </sheetView>
  </sheetViews>
  <sheetFormatPr baseColWidth="10" defaultRowHeight="15" x14ac:dyDescent="0.25"/>
  <cols>
    <col min="1" max="1" width="14.140625" customWidth="1"/>
    <col min="2" max="2" width="19.42578125" customWidth="1"/>
    <col min="3" max="3" width="11.28515625" bestFit="1" customWidth="1"/>
    <col min="4" max="4" width="12.140625" style="71" bestFit="1" customWidth="1"/>
    <col min="5" max="5" width="17.7109375" customWidth="1"/>
    <col min="6" max="6" width="16" customWidth="1"/>
    <col min="7" max="7" width="13.7109375" customWidth="1"/>
  </cols>
  <sheetData>
    <row r="1" spans="1:7" ht="18" customHeight="1" x14ac:dyDescent="0.25">
      <c r="A1" s="180" t="s">
        <v>387</v>
      </c>
      <c r="B1" s="180"/>
      <c r="C1" s="180"/>
      <c r="D1" s="180"/>
      <c r="E1" s="180"/>
      <c r="F1" s="180"/>
      <c r="G1" s="180"/>
    </row>
    <row r="2" spans="1:7" ht="14.25" customHeight="1" x14ac:dyDescent="0.25">
      <c r="A2" s="180"/>
      <c r="B2" s="180"/>
      <c r="C2" s="180"/>
      <c r="D2" s="180"/>
      <c r="E2" s="180"/>
      <c r="F2" s="180"/>
      <c r="G2" s="180"/>
    </row>
    <row r="3" spans="1:7" x14ac:dyDescent="0.25">
      <c r="B3" s="71"/>
    </row>
    <row r="4" spans="1:7" ht="15.75" thickBot="1" x14ac:dyDescent="0.3">
      <c r="D4"/>
    </row>
    <row r="5" spans="1:7" ht="15.75" thickBot="1" x14ac:dyDescent="0.3">
      <c r="A5" s="137" t="s">
        <v>3</v>
      </c>
      <c r="B5" s="137" t="s">
        <v>388</v>
      </c>
      <c r="C5" s="138" t="s">
        <v>389</v>
      </c>
      <c r="D5" s="138" t="s">
        <v>41</v>
      </c>
      <c r="E5" s="138" t="s">
        <v>390</v>
      </c>
      <c r="F5" s="198" t="s">
        <v>378</v>
      </c>
      <c r="G5" s="199"/>
    </row>
    <row r="6" spans="1:7" ht="16.5" thickBot="1" x14ac:dyDescent="0.3">
      <c r="A6" s="136">
        <v>46069</v>
      </c>
      <c r="B6" s="12" t="s">
        <v>16</v>
      </c>
      <c r="C6" s="17">
        <v>0</v>
      </c>
      <c r="D6" s="139">
        <v>0.28599999999999998</v>
      </c>
      <c r="E6" s="140">
        <f>((D6*1)-C6)*40*(100+1.408)/(20*100)</f>
        <v>0.58005375999999997</v>
      </c>
      <c r="F6" s="142" t="s">
        <v>391</v>
      </c>
      <c r="G6" s="141" t="s">
        <v>41</v>
      </c>
    </row>
    <row r="7" spans="1:7" ht="15.75" x14ac:dyDescent="0.25">
      <c r="B7" s="17" t="s">
        <v>396</v>
      </c>
      <c r="C7" s="17">
        <v>0</v>
      </c>
      <c r="D7" s="71">
        <v>0.20599999999999999</v>
      </c>
      <c r="E7" s="140">
        <f t="shared" ref="E7:E10" si="0">((D7*1)-C7)*40*(100+1.408)/(20*100)</f>
        <v>0.41780096000000005</v>
      </c>
      <c r="F7" s="13">
        <v>0</v>
      </c>
      <c r="G7" s="24">
        <v>-1.4999999999999999E-2</v>
      </c>
    </row>
    <row r="8" spans="1:7" ht="15.75" x14ac:dyDescent="0.25">
      <c r="B8" s="17" t="s">
        <v>397</v>
      </c>
      <c r="C8" s="17">
        <v>0</v>
      </c>
      <c r="D8" s="71">
        <v>0.35299999999999998</v>
      </c>
      <c r="E8" s="140">
        <f t="shared" si="0"/>
        <v>0.71594047999999999</v>
      </c>
      <c r="F8" s="13">
        <v>0</v>
      </c>
      <c r="G8" s="24">
        <v>-0.01</v>
      </c>
    </row>
    <row r="9" spans="1:7" ht="15.75" x14ac:dyDescent="0.25">
      <c r="B9" s="17" t="s">
        <v>398</v>
      </c>
      <c r="C9" s="17">
        <v>0</v>
      </c>
      <c r="D9" s="71">
        <v>0.30499999999999999</v>
      </c>
      <c r="E9" s="140">
        <f t="shared" si="0"/>
        <v>0.61858879999999994</v>
      </c>
      <c r="F9" s="13">
        <v>0.25</v>
      </c>
      <c r="G9" s="24">
        <v>-6.0000000000000001E-3</v>
      </c>
    </row>
    <row r="10" spans="1:7" ht="15.75" x14ac:dyDescent="0.25">
      <c r="B10" s="17" t="s">
        <v>399</v>
      </c>
      <c r="C10" s="17">
        <v>0</v>
      </c>
      <c r="D10" s="139">
        <v>0.154</v>
      </c>
      <c r="E10" s="140">
        <f t="shared" si="0"/>
        <v>0.31233664</v>
      </c>
      <c r="F10" s="13">
        <v>0.25</v>
      </c>
      <c r="G10" s="24">
        <v>3.0000000000000001E-3</v>
      </c>
    </row>
    <row r="11" spans="1:7" ht="15.75" x14ac:dyDescent="0.25">
      <c r="B11" s="17" t="s">
        <v>400</v>
      </c>
      <c r="C11" s="17">
        <v>0</v>
      </c>
      <c r="D11" s="71">
        <v>0.183</v>
      </c>
      <c r="E11" s="140">
        <f t="shared" ref="E11:E17" si="1">((D11*1)-C11)*40*(100+1.408)/(20*100)</f>
        <v>0.37115327999999997</v>
      </c>
      <c r="F11" s="13">
        <v>0.5</v>
      </c>
      <c r="G11" s="24">
        <v>8.9999999999999993E-3</v>
      </c>
    </row>
    <row r="12" spans="1:7" ht="15.75" x14ac:dyDescent="0.25">
      <c r="B12" s="17" t="s">
        <v>401</v>
      </c>
      <c r="C12" s="17">
        <v>0</v>
      </c>
      <c r="D12" s="71">
        <v>0.183</v>
      </c>
      <c r="E12" s="140">
        <f t="shared" si="1"/>
        <v>0.37115327999999997</v>
      </c>
      <c r="F12" s="13">
        <v>0.5</v>
      </c>
      <c r="G12" s="24">
        <v>8.0000000000000002E-3</v>
      </c>
    </row>
    <row r="13" spans="1:7" ht="15.75" x14ac:dyDescent="0.25">
      <c r="B13" s="17" t="s">
        <v>402</v>
      </c>
      <c r="C13" s="17">
        <v>0</v>
      </c>
      <c r="D13" s="71">
        <v>0.18099999999999999</v>
      </c>
      <c r="E13" s="140">
        <f t="shared" si="1"/>
        <v>0.36709696000000003</v>
      </c>
      <c r="F13" s="13">
        <v>1</v>
      </c>
      <c r="G13" s="24">
        <v>2.1999999999999999E-2</v>
      </c>
    </row>
    <row r="14" spans="1:7" ht="15.75" x14ac:dyDescent="0.25">
      <c r="B14" s="17" t="s">
        <v>403</v>
      </c>
      <c r="C14" s="17">
        <v>0</v>
      </c>
      <c r="D14" s="71">
        <v>0.25</v>
      </c>
      <c r="E14" s="140">
        <f t="shared" si="1"/>
        <v>0.50704000000000005</v>
      </c>
      <c r="F14" s="13">
        <v>1</v>
      </c>
      <c r="G14" s="24">
        <v>2.7E-2</v>
      </c>
    </row>
    <row r="15" spans="1:7" ht="15.75" x14ac:dyDescent="0.25">
      <c r="B15" s="17" t="s">
        <v>404</v>
      </c>
      <c r="C15" s="17">
        <v>0</v>
      </c>
      <c r="D15" s="71">
        <v>0.189</v>
      </c>
      <c r="E15" s="140">
        <f t="shared" si="1"/>
        <v>0.38332224000000004</v>
      </c>
      <c r="F15" s="13">
        <v>2</v>
      </c>
      <c r="G15" s="24">
        <v>5.8000000000000003E-2</v>
      </c>
    </row>
    <row r="16" spans="1:7" ht="15.75" x14ac:dyDescent="0.25">
      <c r="B16" s="17" t="s">
        <v>405</v>
      </c>
      <c r="C16" s="17">
        <v>0</v>
      </c>
      <c r="D16" s="71">
        <v>0.16600000000000001</v>
      </c>
      <c r="E16" s="154">
        <f t="shared" si="1"/>
        <v>0.33667456000000007</v>
      </c>
      <c r="F16" s="13">
        <v>2</v>
      </c>
      <c r="G16" s="24">
        <v>5.7000000000000002E-2</v>
      </c>
    </row>
    <row r="17" spans="2:5" ht="15.75" x14ac:dyDescent="0.25">
      <c r="B17" s="12" t="s">
        <v>16</v>
      </c>
      <c r="C17" s="17">
        <v>0</v>
      </c>
      <c r="D17" s="71">
        <v>0.29199999999999998</v>
      </c>
      <c r="E17" s="140">
        <f t="shared" si="1"/>
        <v>0.59222271999999998</v>
      </c>
    </row>
    <row r="20" spans="2:5" x14ac:dyDescent="0.25">
      <c r="C20" s="143"/>
      <c r="D20" s="144"/>
      <c r="E20" s="151"/>
    </row>
    <row r="21" spans="2:5" x14ac:dyDescent="0.25">
      <c r="C21" s="143"/>
      <c r="D21" s="144"/>
      <c r="E21" s="151"/>
    </row>
  </sheetData>
  <mergeCells count="2">
    <mergeCell ref="A1:G2"/>
    <mergeCell ref="F5:G5"/>
  </mergeCells>
  <phoneticPr fontId="34" type="noConversion"/>
  <pageMargins left="0.70866141732283472" right="0.70866141732283472" top="0.35433070866141736" bottom="0.15748031496062992" header="0.31496062992125984" footer="0.31496062992125984"/>
  <pageSetup scale="9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3B09-2244-4DB8-BB2D-4B760BF0C095}">
  <sheetPr>
    <tabColor rgb="FFFF33CC"/>
  </sheetPr>
  <dimension ref="A1:G13"/>
  <sheetViews>
    <sheetView topLeftCell="B1" workbookViewId="0">
      <pane ySplit="4" topLeftCell="A5" activePane="bottomLeft" state="frozen"/>
      <selection pane="bottomLeft" activeCell="F16" sqref="F16"/>
    </sheetView>
  </sheetViews>
  <sheetFormatPr baseColWidth="10" defaultRowHeight="15" x14ac:dyDescent="0.25"/>
  <cols>
    <col min="2" max="2" width="14.85546875" customWidth="1"/>
  </cols>
  <sheetData>
    <row r="1" spans="1:7" x14ac:dyDescent="0.25">
      <c r="A1" s="200" t="s">
        <v>379</v>
      </c>
      <c r="B1" s="200"/>
      <c r="C1" s="200"/>
      <c r="D1" s="200"/>
      <c r="E1" s="200"/>
      <c r="F1" s="200"/>
      <c r="G1" s="200"/>
    </row>
    <row r="2" spans="1:7" ht="15.75" thickBot="1" x14ac:dyDescent="0.3">
      <c r="A2" s="201"/>
      <c r="B2" s="201"/>
      <c r="C2" s="201"/>
      <c r="D2" s="201"/>
      <c r="E2" s="201"/>
      <c r="F2" s="201"/>
      <c r="G2" s="201"/>
    </row>
    <row r="3" spans="1:7" ht="15.75" thickBot="1" x14ac:dyDescent="0.3">
      <c r="A3" s="131" t="s">
        <v>3</v>
      </c>
      <c r="B3" s="132" t="s">
        <v>380</v>
      </c>
      <c r="C3" s="133" t="s">
        <v>19</v>
      </c>
      <c r="D3" s="133" t="s">
        <v>381</v>
      </c>
      <c r="E3" s="133" t="s">
        <v>381</v>
      </c>
      <c r="F3" s="133" t="s">
        <v>382</v>
      </c>
      <c r="G3" s="133" t="s">
        <v>383</v>
      </c>
    </row>
    <row r="4" spans="1:7" ht="16.5" thickBot="1" x14ac:dyDescent="0.3">
      <c r="A4" s="134" t="s">
        <v>384</v>
      </c>
      <c r="B4" s="132"/>
      <c r="C4" s="16"/>
      <c r="D4" s="133" t="s">
        <v>385</v>
      </c>
      <c r="E4" s="133" t="s">
        <v>386</v>
      </c>
      <c r="F4" s="133"/>
      <c r="G4" s="135"/>
    </row>
    <row r="5" spans="1:7" ht="15.75" x14ac:dyDescent="0.25">
      <c r="A5" s="102">
        <v>46066</v>
      </c>
      <c r="B5" s="71" t="s">
        <v>396</v>
      </c>
      <c r="C5" s="38">
        <v>0.2059</v>
      </c>
      <c r="D5" s="71">
        <v>0.1</v>
      </c>
      <c r="E5" s="12">
        <v>1.8</v>
      </c>
      <c r="F5" s="129">
        <f t="shared" ref="F5:F13" si="0">+((E5-D5)*0.0099779*1.408/C5)</f>
        <v>0.11599369324915007</v>
      </c>
    </row>
    <row r="6" spans="1:7" ht="15.75" x14ac:dyDescent="0.25">
      <c r="A6" s="102">
        <v>46066</v>
      </c>
      <c r="B6" s="71" t="s">
        <v>397</v>
      </c>
      <c r="C6" s="38">
        <v>0.2036</v>
      </c>
      <c r="D6" s="71">
        <v>0.1</v>
      </c>
      <c r="E6" s="12">
        <v>2</v>
      </c>
      <c r="F6" s="129">
        <f t="shared" si="0"/>
        <v>0.13110450923379172</v>
      </c>
    </row>
    <row r="7" spans="1:7" ht="15.75" x14ac:dyDescent="0.25">
      <c r="A7" s="102">
        <v>46066</v>
      </c>
      <c r="B7" s="71" t="s">
        <v>398</v>
      </c>
      <c r="C7" s="38">
        <v>0.2031</v>
      </c>
      <c r="D7" s="71">
        <v>0.1</v>
      </c>
      <c r="E7" s="12">
        <v>2.4</v>
      </c>
      <c r="F7" s="129">
        <f t="shared" si="0"/>
        <v>0.1590961662235352</v>
      </c>
    </row>
    <row r="8" spans="1:7" ht="15.75" x14ac:dyDescent="0.25">
      <c r="A8" s="102">
        <v>46066</v>
      </c>
      <c r="B8" s="71" t="s">
        <v>399</v>
      </c>
      <c r="C8" s="38">
        <v>0.2026</v>
      </c>
      <c r="D8" s="71">
        <v>0.1</v>
      </c>
      <c r="E8" s="12">
        <v>1.8</v>
      </c>
      <c r="F8" s="129">
        <f t="shared" si="0"/>
        <v>0.11788302783810463</v>
      </c>
    </row>
    <row r="9" spans="1:7" ht="15.75" x14ac:dyDescent="0.25">
      <c r="A9" s="102">
        <v>46066</v>
      </c>
      <c r="B9" s="71" t="s">
        <v>400</v>
      </c>
      <c r="C9" s="38">
        <v>0.20219999999999999</v>
      </c>
      <c r="D9" s="71">
        <v>0.1</v>
      </c>
      <c r="E9" s="12">
        <v>1.9</v>
      </c>
      <c r="F9" s="129">
        <f t="shared" si="0"/>
        <v>0.1250642421364985</v>
      </c>
    </row>
    <row r="10" spans="1:7" ht="15.75" x14ac:dyDescent="0.25">
      <c r="A10" s="102">
        <v>46066</v>
      </c>
      <c r="B10" s="71" t="s">
        <v>401</v>
      </c>
      <c r="C10" s="38">
        <v>0.2039</v>
      </c>
      <c r="D10" s="71">
        <v>0.1</v>
      </c>
      <c r="E10" s="12">
        <v>0.5</v>
      </c>
      <c r="F10" s="129">
        <f t="shared" si="0"/>
        <v>2.7560339774399211E-2</v>
      </c>
    </row>
    <row r="11" spans="1:7" ht="15.75" x14ac:dyDescent="0.25">
      <c r="A11" s="102">
        <v>46066</v>
      </c>
      <c r="B11" s="71" t="s">
        <v>402</v>
      </c>
      <c r="C11" s="38">
        <v>0.20569999999999999</v>
      </c>
      <c r="D11" s="71">
        <v>0.1</v>
      </c>
      <c r="E11" s="12">
        <v>1.4</v>
      </c>
      <c r="F11" s="129">
        <f t="shared" si="0"/>
        <v>8.8787302673796781E-2</v>
      </c>
    </row>
    <row r="12" spans="1:7" ht="15.75" x14ac:dyDescent="0.25">
      <c r="A12" s="102">
        <v>46066</v>
      </c>
      <c r="B12" s="12" t="s">
        <v>377</v>
      </c>
      <c r="C12" s="38">
        <v>0.1033</v>
      </c>
      <c r="D12" s="71">
        <v>0.1</v>
      </c>
      <c r="E12" s="12">
        <v>0.9</v>
      </c>
      <c r="F12" s="129">
        <f t="shared" si="0"/>
        <v>0.10880064433688284</v>
      </c>
    </row>
    <row r="13" spans="1:7" ht="15.75" x14ac:dyDescent="0.25">
      <c r="A13" s="102">
        <v>46076</v>
      </c>
      <c r="B13" s="12" t="s">
        <v>377</v>
      </c>
      <c r="C13" s="38">
        <v>0.1048</v>
      </c>
      <c r="D13" s="71">
        <v>0.2</v>
      </c>
      <c r="E13" s="12">
        <v>0.9</v>
      </c>
      <c r="F13" s="129">
        <f t="shared" si="0"/>
        <v>9.3837960305343485E-2</v>
      </c>
    </row>
  </sheetData>
  <mergeCells count="1">
    <mergeCell ref="A1:G2"/>
  </mergeCells>
  <phoneticPr fontId="3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2d1f0-2bcc-499f-ba51-7f298eb9b660">
      <Terms xmlns="http://schemas.microsoft.com/office/infopath/2007/PartnerControls"/>
    </lcf76f155ced4ddcb4097134ff3c332f>
    <TaxCatchAll xmlns="1b6b984c-9fa1-474b-9207-5dcd07de795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5C9059850D9E42BA93DC9770C5AC28" ma:contentTypeVersion="14" ma:contentTypeDescription="Crear nuevo documento." ma:contentTypeScope="" ma:versionID="ae70eff465e92a0400a4e03dbd73f395">
  <xsd:schema xmlns:xsd="http://www.w3.org/2001/XMLSchema" xmlns:xs="http://www.w3.org/2001/XMLSchema" xmlns:p="http://schemas.microsoft.com/office/2006/metadata/properties" xmlns:ns2="7322d1f0-2bcc-499f-ba51-7f298eb9b660" xmlns:ns3="1b6b984c-9fa1-474b-9207-5dcd07de795d" targetNamespace="http://schemas.microsoft.com/office/2006/metadata/properties" ma:root="true" ma:fieldsID="399caca5a1cd5d666b65d5c84853f0d8" ns2:_="" ns3:_="">
    <xsd:import namespace="7322d1f0-2bcc-499f-ba51-7f298eb9b660"/>
    <xsd:import namespace="1b6b984c-9fa1-474b-9207-5dcd07de795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2d1f0-2bcc-499f-ba51-7f298eb9b66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f835f457-911c-46bd-9abb-a05c5af3d3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984c-9fa1-474b-9207-5dcd07de795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825e8e5-6a30-4d9e-889d-78a10b200219}" ma:internalName="TaxCatchAll" ma:showField="CatchAllData" ma:web="1b6b984c-9fa1-474b-9207-5dcd07de79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D7EA8-09D4-47C8-AC5B-74736A9B2891}">
  <ds:schemaRefs>
    <ds:schemaRef ds:uri="http://schemas.microsoft.com/office/2006/metadata/properties"/>
    <ds:schemaRef ds:uri="http://schemas.microsoft.com/office/infopath/2007/PartnerControls"/>
    <ds:schemaRef ds:uri="7322d1f0-2bcc-499f-ba51-7f298eb9b660"/>
    <ds:schemaRef ds:uri="1b6b984c-9fa1-474b-9207-5dcd07de795d"/>
  </ds:schemaRefs>
</ds:datastoreItem>
</file>

<file path=customXml/itemProps2.xml><?xml version="1.0" encoding="utf-8"?>
<ds:datastoreItem xmlns:ds="http://schemas.openxmlformats.org/officeDocument/2006/customXml" ds:itemID="{3F4780C6-3D25-498A-BAFC-875603C54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22d1f0-2bcc-499f-ba51-7f298eb9b660"/>
    <ds:schemaRef ds:uri="1b6b984c-9fa1-474b-9207-5dcd07de79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13BCC-89FF-4EE7-B2DA-85D2D6AF80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Macros</vt:lpstr>
      <vt:lpstr>Micros</vt:lpstr>
      <vt:lpstr>Azufre</vt:lpstr>
      <vt:lpstr>Fósforo</vt:lpstr>
      <vt:lpstr>Conductividad Electrica</vt:lpstr>
      <vt:lpstr>pH</vt:lpstr>
      <vt:lpstr>%M.O</vt:lpstr>
      <vt:lpstr>Capacidad de Inter. Cationico</vt:lpstr>
      <vt:lpstr>%MO</vt:lpstr>
      <vt:lpstr>%Humedad Residual</vt:lpstr>
      <vt:lpstr>Textura</vt:lpstr>
      <vt:lpstr>Boro </vt:lpstr>
      <vt:lpstr>NITRIGENO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2026-04-30T18:19:27Z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0x0101008F5C9059850D9E42BA93DC9770C5AC28</vt:lpwstr>
  </property>
</Properties>
</file>