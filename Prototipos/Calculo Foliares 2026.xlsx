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76FCB679-E3BF-4953-A195-F0737A69AEC9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Macros" sheetId="1" r:id="rId1"/>
    <sheet name="Micros" sheetId="2" r:id="rId2"/>
    <sheet name="Nitrogeno" sheetId="3" r:id="rId3"/>
    <sheet name="Fosforo" sheetId="4" r:id="rId4"/>
    <sheet name="Boro" sheetId="21" r:id="rId5"/>
    <sheet name="Hoja1" sheetId="19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O6" i="2"/>
  <c r="N5" i="2"/>
  <c r="M4" i="2"/>
  <c r="L3" i="2"/>
  <c r="O5" i="1"/>
  <c r="F8" i="4" l="1"/>
  <c r="G8" i="4" s="1"/>
  <c r="F16" i="4"/>
  <c r="G16" i="4" s="1"/>
  <c r="F15" i="4"/>
  <c r="G15" i="4" s="1"/>
  <c r="F14" i="4"/>
  <c r="F13" i="4"/>
  <c r="G13" i="4" s="1"/>
  <c r="F12" i="4"/>
  <c r="G12" i="4" s="1"/>
  <c r="G11" i="4"/>
  <c r="F11" i="4"/>
  <c r="F10" i="4"/>
  <c r="G10" i="4" s="1"/>
  <c r="F9" i="4"/>
  <c r="G9" i="4" s="1"/>
  <c r="O13" i="2"/>
  <c r="N13" i="2"/>
  <c r="M13" i="2"/>
  <c r="L13" i="2"/>
  <c r="L12" i="2" l="1"/>
  <c r="M12" i="2"/>
  <c r="N12" i="2"/>
  <c r="O12" i="2"/>
  <c r="N6" i="1" l="1"/>
  <c r="N7" i="1"/>
  <c r="N8" i="1"/>
  <c r="N9" i="1"/>
  <c r="N10" i="1"/>
  <c r="N11" i="1"/>
  <c r="N12" i="1"/>
  <c r="N13" i="1"/>
  <c r="N14" i="1"/>
  <c r="M6" i="1"/>
  <c r="M7" i="1"/>
  <c r="M8" i="1"/>
  <c r="M9" i="1"/>
  <c r="M10" i="1"/>
  <c r="M11" i="1"/>
  <c r="M12" i="1"/>
  <c r="M13" i="1"/>
  <c r="M14" i="1"/>
  <c r="L6" i="1"/>
  <c r="L7" i="1"/>
  <c r="L8" i="1"/>
  <c r="L9" i="1"/>
  <c r="L10" i="1"/>
  <c r="L11" i="1"/>
  <c r="L12" i="1"/>
  <c r="L13" i="1"/>
  <c r="L14" i="1"/>
  <c r="N5" i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19" i="3"/>
  <c r="F18" i="3"/>
  <c r="F17" i="3"/>
  <c r="F6" i="21"/>
  <c r="G6" i="21" s="1"/>
  <c r="F16" i="3"/>
  <c r="F15" i="3"/>
  <c r="F14" i="3"/>
  <c r="F13" i="3"/>
  <c r="F12" i="3"/>
  <c r="F11" i="3"/>
  <c r="F10" i="3"/>
  <c r="F9" i="3" l="1"/>
  <c r="O11" i="2"/>
  <c r="N11" i="2"/>
  <c r="M11" i="2"/>
  <c r="L11" i="2"/>
  <c r="N10" i="2" l="1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N6" i="2"/>
  <c r="M6" i="2"/>
  <c r="L6" i="2"/>
  <c r="M5" i="2"/>
  <c r="L5" i="2"/>
  <c r="O4" i="2"/>
  <c r="N4" i="2"/>
  <c r="L4" i="2"/>
  <c r="N3" i="2"/>
  <c r="M3" i="2"/>
  <c r="F8" i="3"/>
  <c r="F7" i="3"/>
  <c r="F6" i="3"/>
  <c r="F5" i="3"/>
  <c r="L4" i="1" l="1"/>
  <c r="M4" i="1"/>
  <c r="N4" i="1"/>
  <c r="L5" i="1"/>
  <c r="M5" i="1"/>
  <c r="O48" i="19" l="1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O47" i="19"/>
  <c r="N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47" i="19"/>
</calcChain>
</file>

<file path=xl/sharedStrings.xml><?xml version="1.0" encoding="utf-8"?>
<sst xmlns="http://schemas.openxmlformats.org/spreadsheetml/2006/main" count="204" uniqueCount="102">
  <si>
    <t>CALCULO EN MACRO NUTRIENTES 2024</t>
  </si>
  <si>
    <t>Fecha Analisis</t>
  </si>
  <si>
    <t>No. LAB</t>
  </si>
  <si>
    <t>PESO (g)</t>
  </si>
  <si>
    <t>CONC. Ca</t>
  </si>
  <si>
    <t>CONC. Mg</t>
  </si>
  <si>
    <t>CONC. K</t>
  </si>
  <si>
    <t>CONC.Na</t>
  </si>
  <si>
    <t>BLK. Ca</t>
  </si>
  <si>
    <t>BLK. Mg</t>
  </si>
  <si>
    <t>BLK. K</t>
  </si>
  <si>
    <t>BLk.Na</t>
  </si>
  <si>
    <t>% Ca</t>
  </si>
  <si>
    <t>% Mg</t>
  </si>
  <si>
    <t>% K</t>
  </si>
  <si>
    <t>% Na</t>
  </si>
  <si>
    <t>Control 1</t>
  </si>
  <si>
    <t>Control 2</t>
  </si>
  <si>
    <t xml:space="preserve">Control </t>
  </si>
  <si>
    <t>Determinación Micro Nutrientes 2024</t>
  </si>
  <si>
    <t>CONC. Cu</t>
  </si>
  <si>
    <t>CONC. Zn</t>
  </si>
  <si>
    <t>CONC. Fe</t>
  </si>
  <si>
    <t>CONC. Mn</t>
  </si>
  <si>
    <t>B-Cu</t>
  </si>
  <si>
    <t>B- Zn</t>
  </si>
  <si>
    <t>B-Fe</t>
  </si>
  <si>
    <t>B-Mn</t>
  </si>
  <si>
    <t>PPM Cu</t>
  </si>
  <si>
    <t>PPM Zn</t>
  </si>
  <si>
    <t>PPM Fe</t>
  </si>
  <si>
    <t>PPM Mn</t>
  </si>
  <si>
    <t>Calculo de NITROGENO 2024</t>
  </si>
  <si>
    <t>Fecha</t>
  </si>
  <si>
    <t xml:space="preserve"> NO. LAB</t>
  </si>
  <si>
    <t>Ml HCl</t>
  </si>
  <si>
    <t>% N</t>
  </si>
  <si>
    <t>x= Nitrogeno</t>
  </si>
  <si>
    <t>Analisis</t>
  </si>
  <si>
    <t>BLANCO</t>
  </si>
  <si>
    <t>MUESTRA</t>
  </si>
  <si>
    <t>control</t>
  </si>
  <si>
    <t>Acido Nuevo</t>
  </si>
  <si>
    <t>control 3</t>
  </si>
  <si>
    <t>control 4</t>
  </si>
  <si>
    <t>control 5</t>
  </si>
  <si>
    <t>control 6</t>
  </si>
  <si>
    <t>control 7</t>
  </si>
  <si>
    <t>control 8</t>
  </si>
  <si>
    <t>CALCULO DE FÓSFORO 2025</t>
  </si>
  <si>
    <t># laboratorio</t>
  </si>
  <si>
    <t>Peso de muestras</t>
  </si>
  <si>
    <t>Abs. Blanco</t>
  </si>
  <si>
    <t>Absorbancia</t>
  </si>
  <si>
    <t>ppm P soluc</t>
  </si>
  <si>
    <t>%P muestra</t>
  </si>
  <si>
    <t>Curva de calibración</t>
  </si>
  <si>
    <t>CALCULO DE BORO 2025</t>
  </si>
  <si>
    <t>ppm B soluc</t>
  </si>
  <si>
    <t>ppm B muestra</t>
  </si>
  <si>
    <t>Curva de Calibración</t>
  </si>
  <si>
    <t>Concentración</t>
  </si>
  <si>
    <t>Micronutrientes</t>
  </si>
  <si>
    <t>F- 154-04-21</t>
  </si>
  <si>
    <t>F- 155-04-21</t>
  </si>
  <si>
    <t>F- 156-04-21</t>
  </si>
  <si>
    <t>F- 157-04-21</t>
  </si>
  <si>
    <t>F- 158-04-21</t>
  </si>
  <si>
    <t>F- 159-04-21</t>
  </si>
  <si>
    <t>F- 160-04-21</t>
  </si>
  <si>
    <t>F- 161-04-21</t>
  </si>
  <si>
    <t>F- 162-04-21</t>
  </si>
  <si>
    <t>F- 163-04-21</t>
  </si>
  <si>
    <t>F- 164-04-21</t>
  </si>
  <si>
    <t>F- 165-04-21</t>
  </si>
  <si>
    <t>F- 166-04-21</t>
  </si>
  <si>
    <t>F- 167-04-21</t>
  </si>
  <si>
    <t>F- 168-04-21</t>
  </si>
  <si>
    <t>F- 169-04-21</t>
  </si>
  <si>
    <t>F- 170-05-21</t>
  </si>
  <si>
    <t>F- 171-05-21</t>
  </si>
  <si>
    <t>F- 172-05-21</t>
  </si>
  <si>
    <t>F- 173-05-21</t>
  </si>
  <si>
    <t>F- 174-05-21</t>
  </si>
  <si>
    <t>F- 220-06-21</t>
  </si>
  <si>
    <t>F- 221-06-21</t>
  </si>
  <si>
    <t>F- 222-06-21</t>
  </si>
  <si>
    <t>F- 223-06-21</t>
  </si>
  <si>
    <t>F- 224-06-21</t>
  </si>
  <si>
    <t>F- 225-06-21</t>
  </si>
  <si>
    <t>F- 226-06-21</t>
  </si>
  <si>
    <t>F- 227-06-21</t>
  </si>
  <si>
    <t>Macronutrientes</t>
  </si>
  <si>
    <t>Ejemplo 1</t>
  </si>
  <si>
    <t>Ejemplo 2</t>
  </si>
  <si>
    <t>Ejemplo 3</t>
  </si>
  <si>
    <t>Ejemplo 4</t>
  </si>
  <si>
    <t>Ejemplo 5</t>
  </si>
  <si>
    <t>Ejemplo 6</t>
  </si>
  <si>
    <t>Ejemplo 7</t>
  </si>
  <si>
    <t>Ejemplo 8</t>
  </si>
  <si>
    <t>Ejemplo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</si>
</sst>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1" x14ac:knownFonts="1">
    <font>
      <sz val="11"/>
      <color theme="1"/>
      <name val="Calibri"/>
      <family val="2"/>
      <scheme val="minor"/>
    </font>
    <font>
      <b/>
      <sz val="22"/>
      <name val="Candara"/>
      <family val="2"/>
    </font>
    <font>
      <sz val="22"/>
      <color theme="1"/>
      <name val="Calibri"/>
      <family val="2"/>
      <scheme val="minor"/>
    </font>
    <font>
      <b/>
      <sz val="10"/>
      <name val="Candara"/>
      <family val="2"/>
    </font>
    <font>
      <sz val="12"/>
      <color theme="1"/>
      <name val="Calibri"/>
      <family val="2"/>
      <scheme val="minor"/>
    </font>
    <font>
      <b/>
      <sz val="18"/>
      <name val="Comic Sans MS"/>
      <family val="4"/>
    </font>
    <font>
      <b/>
      <sz val="14"/>
      <name val="Comic Sans MS"/>
      <family val="4"/>
    </font>
    <font>
      <b/>
      <sz val="9"/>
      <name val="Candara"/>
      <family val="2"/>
    </font>
    <font>
      <b/>
      <sz val="11"/>
      <name val="Candara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b/>
      <sz val="20"/>
      <name val="Comic Sans MS"/>
      <family val="4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20"/>
      <color indexed="8"/>
      <name val="Comic Sans MS"/>
      <family val="4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 applyAlignment="1">
      <alignment horizontal="center"/>
    </xf>
    <xf numFmtId="0" fontId="7" fillId="0" borderId="9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4" fillId="0" borderId="0" xfId="0" applyFont="1"/>
    <xf numFmtId="14" fontId="0" fillId="0" borderId="0" xfId="0" applyNumberForma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/>
    <xf numFmtId="0" fontId="12" fillId="0" borderId="14" xfId="0" applyFont="1" applyBorder="1"/>
    <xf numFmtId="0" fontId="12" fillId="0" borderId="16" xfId="0" applyFont="1" applyBorder="1" applyAlignment="1">
      <alignment horizontal="center"/>
    </xf>
    <xf numFmtId="0" fontId="12" fillId="0" borderId="17" xfId="0" applyFont="1" applyBorder="1"/>
    <xf numFmtId="0" fontId="9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12" fillId="0" borderId="0" xfId="0" applyFont="1"/>
    <xf numFmtId="2" fontId="0" fillId="0" borderId="0" xfId="0" applyNumberFormat="1" applyAlignment="1">
      <alignment horizontal="center"/>
    </xf>
    <xf numFmtId="14" fontId="0" fillId="0" borderId="0" xfId="0" applyNumberFormat="1"/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4" fontId="0" fillId="0" borderId="0" xfId="0" applyNumberFormat="1"/>
    <xf numFmtId="0" fontId="15" fillId="0" borderId="0" xfId="0" applyFont="1" applyAlignment="1">
      <alignment horizontal="center"/>
    </xf>
    <xf numFmtId="0" fontId="15" fillId="0" borderId="0" xfId="0" applyFont="1"/>
    <xf numFmtId="4" fontId="15" fillId="0" borderId="0" xfId="0" applyNumberFormat="1" applyFont="1"/>
    <xf numFmtId="0" fontId="18" fillId="0" borderId="0" xfId="0" applyFont="1" applyAlignment="1">
      <alignment horizontal="center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8" xfId="0" applyFill="1" applyBorder="1"/>
    <xf numFmtId="0" fontId="8" fillId="2" borderId="1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7" borderId="0" xfId="0" applyNumberFormat="1" applyFont="1" applyFill="1" applyAlignment="1">
      <alignment horizontal="center" vertical="center"/>
    </xf>
    <xf numFmtId="0" fontId="0" fillId="6" borderId="0" xfId="0" applyFill="1"/>
    <xf numFmtId="0" fontId="7" fillId="4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/>
    </xf>
    <xf numFmtId="2" fontId="4" fillId="6" borderId="19" xfId="0" applyNumberFormat="1" applyFont="1" applyFill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5" borderId="0" xfId="0" quotePrefix="1" applyFont="1" applyFill="1" applyAlignment="1">
      <alignment horizontal="center"/>
    </xf>
    <xf numFmtId="0" fontId="5" fillId="5" borderId="4" xfId="0" quotePrefix="1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/>
    <xf numFmtId="166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FF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63431189851268588"/>
                  <c:y val="-0.17968102945465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</c:trendlineLbl>
          </c:trendline>
          <c:xVal>
            <c:numRef>
              <c:f>Fosforo!$H$9:$H$18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16</c:v>
                </c:pt>
                <c:pt idx="8">
                  <c:v>32</c:v>
                </c:pt>
                <c:pt idx="9">
                  <c:v>32</c:v>
                </c:pt>
              </c:numCache>
            </c:numRef>
          </c:xVal>
          <c:yVal>
            <c:numRef>
              <c:f>Fosforo!$I$9:$I$18</c:f>
              <c:numCache>
                <c:formatCode>0.000</c:formatCode>
                <c:ptCount val="10"/>
                <c:pt idx="0">
                  <c:v>0.08</c:v>
                </c:pt>
                <c:pt idx="1">
                  <c:v>8.3000000000000004E-2</c:v>
                </c:pt>
                <c:pt idx="2">
                  <c:v>0.17799999999999999</c:v>
                </c:pt>
                <c:pt idx="3">
                  <c:v>0.18099999999999999</c:v>
                </c:pt>
                <c:pt idx="4">
                  <c:v>0.35199999999999998</c:v>
                </c:pt>
                <c:pt idx="5">
                  <c:v>0.35499999999999998</c:v>
                </c:pt>
                <c:pt idx="6">
                  <c:v>0.55800000000000005</c:v>
                </c:pt>
                <c:pt idx="7">
                  <c:v>0.54300000000000004</c:v>
                </c:pt>
                <c:pt idx="8">
                  <c:v>0.999</c:v>
                </c:pt>
                <c:pt idx="9">
                  <c:v>1.024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1-4717-90F3-2A30DE473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983103"/>
        <c:axId val="1859981663"/>
      </c:scatterChart>
      <c:valAx>
        <c:axId val="185998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859981663"/>
        <c:crosses val="autoZero"/>
        <c:crossBetween val="midCat"/>
      </c:valAx>
      <c:valAx>
        <c:axId val="185998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85998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856933508311461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1346631671041121"/>
                  <c:y val="-0.202979367162438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</c:trendlineLbl>
          </c:trendline>
          <c:xVal>
            <c:numRef>
              <c:f>Boro!$H$7:$H$16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0.25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xVal>
          <c:yVal>
            <c:numRef>
              <c:f>Boro!$I$7:$I$16</c:f>
              <c:numCache>
                <c:formatCode>0.000</c:formatCode>
                <c:ptCount val="10"/>
                <c:pt idx="0">
                  <c:v>-8.9999999999999993E-3</c:v>
                </c:pt>
                <c:pt idx="1">
                  <c:v>-2E-3</c:v>
                </c:pt>
                <c:pt idx="2">
                  <c:v>2.8000000000000001E-2</c:v>
                </c:pt>
                <c:pt idx="3">
                  <c:v>0.03</c:v>
                </c:pt>
                <c:pt idx="4">
                  <c:v>6.5000000000000002E-2</c:v>
                </c:pt>
                <c:pt idx="5">
                  <c:v>6.6000000000000003E-2</c:v>
                </c:pt>
                <c:pt idx="6">
                  <c:v>0.13600000000000001</c:v>
                </c:pt>
                <c:pt idx="7">
                  <c:v>0.13600000000000001</c:v>
                </c:pt>
                <c:pt idx="8">
                  <c:v>0.29399999999999998</c:v>
                </c:pt>
                <c:pt idx="9">
                  <c:v>0.28100000000000003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E-4E20-BF96-BB5735227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48319"/>
        <c:axId val="27847839"/>
      </c:scatterChart>
      <c:valAx>
        <c:axId val="2784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7847839"/>
        <c:crosses val="autoZero"/>
        <c:crossBetween val="midCat"/>
      </c:valAx>
      <c:valAx>
        <c:axId val="278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784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856933508311461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1346631671041121"/>
                  <c:y val="-0.202979367162438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</c:trendlineLbl>
          </c:trendline>
          <c:xVal>
            <c:numRef>
              <c:f>Boro!#REF!</c:f>
            </c:numRef>
          </c:xVal>
          <c:yVal>
            <c:numRef>
              <c:f>Boro!#REF!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D4-4B72-B373-36308DE56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48319"/>
        <c:axId val="27847839"/>
      </c:scatterChart>
      <c:valAx>
        <c:axId val="2784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7847839"/>
        <c:crosses val="autoZero"/>
        <c:crossBetween val="midCat"/>
      </c:valAx>
      <c:valAx>
        <c:axId val="278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784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5</xdr:row>
      <xdr:rowOff>14287</xdr:rowOff>
    </xdr:from>
    <xdr:to>
      <xdr:col>15</xdr:col>
      <xdr:colOff>47625</xdr:colOff>
      <xdr:row>19</xdr:row>
      <xdr:rowOff>61912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B83633C-3BE7-B50D-E4B3-4ACDBA7F7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201083</xdr:colOff>
      <xdr:row>4</xdr:row>
      <xdr:rowOff>0</xdr:rowOff>
    </xdr:from>
    <xdr:to>
      <xdr:col>15</xdr:col>
      <xdr:colOff>201083</xdr:colOff>
      <xdr:row>17</xdr:row>
      <xdr:rowOff>122766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C7EADB-161C-54DA-165F-0A5E6DFF1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201083</xdr:colOff>
      <xdr:row>19</xdr:row>
      <xdr:rowOff>194733</xdr:rowOff>
    </xdr:from>
    <xdr:to>
      <xdr:col>15</xdr:col>
      <xdr:colOff>201083</xdr:colOff>
      <xdr:row>20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28998B-8008-4EA6-B87F-11EE95B9D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A2DCBB-DD4B-49A4-B132-860D6352E3B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b8fa5b1-63a5-42df-9589-7f04c1620dc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O1663"/>
  <sheetViews>
    <sheetView zoomScale="85" zoomScaleNormal="85" workbookViewId="0">
      <pane ySplit="3" topLeftCell="A4" activePane="bottomLeft" state="frozen"/>
      <selection pane="bottomLeft" activeCell="Q14" sqref="Q14:R14"/>
    </sheetView>
  </sheetViews>
  <sheetFormatPr baseColWidth="10" defaultColWidth="9.140625" defaultRowHeight="15" x14ac:dyDescent="0.25"/>
  <cols>
    <col min="1" max="1" width="15.42578125" customWidth="1"/>
    <col min="2" max="2" width="19.42578125" customWidth="1"/>
    <col min="3" max="3" width="10.7109375" bestFit="1" customWidth="1"/>
    <col min="12" max="12" width="10.5703125" bestFit="1" customWidth="1"/>
    <col min="13" max="13" width="10.42578125" customWidth="1"/>
    <col min="14" max="14" width="10.28515625" customWidth="1"/>
  </cols>
  <sheetData>
    <row r="1" spans="1:15" ht="36" customHeight="1" thickBot="1" x14ac:dyDescent="0.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  <c r="O1" s="1"/>
    </row>
    <row r="2" spans="1:15" x14ac:dyDescent="0.25">
      <c r="A2" s="66" t="s">
        <v>1</v>
      </c>
      <c r="B2" s="61" t="s">
        <v>2</v>
      </c>
      <c r="C2" s="61" t="s">
        <v>3</v>
      </c>
      <c r="D2" s="68" t="s">
        <v>4</v>
      </c>
      <c r="E2" s="68" t="s">
        <v>5</v>
      </c>
      <c r="F2" s="68" t="s">
        <v>6</v>
      </c>
      <c r="G2" s="68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61" t="s">
        <v>12</v>
      </c>
      <c r="M2" s="61" t="s">
        <v>13</v>
      </c>
      <c r="N2" s="61" t="s">
        <v>14</v>
      </c>
      <c r="O2" s="61" t="s">
        <v>15</v>
      </c>
    </row>
    <row r="3" spans="1:15" ht="15.75" thickBot="1" x14ac:dyDescent="0.3">
      <c r="A3" s="67"/>
      <c r="B3" s="62"/>
      <c r="C3" s="62"/>
      <c r="D3" s="69"/>
      <c r="E3" s="69"/>
      <c r="F3" s="69"/>
      <c r="G3" s="69"/>
      <c r="H3" s="71"/>
      <c r="I3" s="71"/>
      <c r="J3" s="71"/>
      <c r="K3" s="71"/>
      <c r="L3" s="62"/>
      <c r="M3" s="62"/>
      <c r="N3" s="62"/>
      <c r="O3" s="62"/>
    </row>
    <row r="4" spans="1:15" ht="15.75" x14ac:dyDescent="0.25">
      <c r="A4" s="41">
        <v>46057</v>
      </c>
      <c r="B4" s="19" t="s">
        <v>18</v>
      </c>
      <c r="C4" s="4">
        <v>0.2505</v>
      </c>
      <c r="D4">
        <v>3.2170000000000001</v>
      </c>
      <c r="E4">
        <v>0.66900000000000004</v>
      </c>
      <c r="F4">
        <v>5.343</v>
      </c>
      <c r="H4">
        <v>1.972</v>
      </c>
      <c r="I4" s="23">
        <v>0</v>
      </c>
      <c r="J4">
        <v>0.121</v>
      </c>
      <c r="L4" s="49">
        <f t="shared" ref="L4:L5" si="0">+(D4-H4)*0.05/C4</f>
        <v>0.24850299401197606</v>
      </c>
      <c r="M4" s="49">
        <f t="shared" ref="M4:M14" si="1">+((E4-I4)*0.05/C4)</f>
        <v>0.13353293413173653</v>
      </c>
      <c r="N4" s="49">
        <f t="shared" ref="N4:N14" si="2">+((F4-J4)*0.05/C4)</f>
        <v>1.0423153692614771</v>
      </c>
    </row>
    <row r="5" spans="1:15" ht="15.75" x14ac:dyDescent="0.25">
      <c r="A5" s="9">
        <v>46070</v>
      </c>
      <c r="B5" s="19" t="s">
        <v>18</v>
      </c>
      <c r="C5" s="19">
        <v>0.25430000000000003</v>
      </c>
      <c r="D5">
        <v>3.698</v>
      </c>
      <c r="E5">
        <v>1.23</v>
      </c>
      <c r="F5">
        <v>8.0410000000000004</v>
      </c>
      <c r="G5">
        <v>3.3359999999999999</v>
      </c>
      <c r="H5">
        <v>2.3860000000000001</v>
      </c>
      <c r="I5">
        <v>0.32400000000000001</v>
      </c>
      <c r="J5">
        <v>9.8000000000000004E-2</v>
      </c>
      <c r="K5">
        <v>1.4059999999999999</v>
      </c>
      <c r="L5" s="58">
        <f t="shared" si="0"/>
        <v>0.25796303578450641</v>
      </c>
      <c r="M5" s="58">
        <f t="shared" si="1"/>
        <v>0.1781360597719229</v>
      </c>
      <c r="N5" s="58">
        <f>+((F5-J5)*0.05/C5)</f>
        <v>1.5617381046008652</v>
      </c>
      <c r="O5" s="48">
        <f>+((G5-K5)*0.05/C5)</f>
        <v>0.37947306331104991</v>
      </c>
    </row>
    <row r="6" spans="1:15" ht="15.75" x14ac:dyDescent="0.25">
      <c r="A6" s="9">
        <v>46077</v>
      </c>
      <c r="B6" s="19" t="s">
        <v>93</v>
      </c>
      <c r="C6" s="59">
        <v>0.503</v>
      </c>
      <c r="D6">
        <v>1.6970000000000001</v>
      </c>
      <c r="E6">
        <v>1.091</v>
      </c>
      <c r="F6">
        <v>6.0510000000000002</v>
      </c>
      <c r="H6">
        <v>0</v>
      </c>
      <c r="I6">
        <v>0.246</v>
      </c>
      <c r="J6">
        <v>1.0589999999999999</v>
      </c>
      <c r="L6" s="48">
        <f t="shared" ref="L6:L14" si="3">+(D6-H6)*0.05/C6</f>
        <v>0.16868787276341951</v>
      </c>
      <c r="M6" s="48">
        <f t="shared" si="1"/>
        <v>8.3996023856858851E-2</v>
      </c>
      <c r="N6" s="48">
        <f t="shared" si="2"/>
        <v>0.49622266401590459</v>
      </c>
      <c r="O6" s="48"/>
    </row>
    <row r="7" spans="1:15" ht="15.75" x14ac:dyDescent="0.25">
      <c r="A7" s="9">
        <v>46077</v>
      </c>
      <c r="B7" s="19" t="s">
        <v>94</v>
      </c>
      <c r="C7" s="59">
        <v>0.50460000000000005</v>
      </c>
      <c r="D7">
        <v>1.81</v>
      </c>
      <c r="E7">
        <v>1.224</v>
      </c>
      <c r="F7">
        <v>7.0650000000000004</v>
      </c>
      <c r="H7">
        <v>0</v>
      </c>
      <c r="I7">
        <v>0.246</v>
      </c>
      <c r="J7">
        <v>1.0589999999999999</v>
      </c>
      <c r="L7" s="48">
        <f t="shared" si="3"/>
        <v>0.17934998018232265</v>
      </c>
      <c r="M7" s="48">
        <f t="shared" si="1"/>
        <v>9.6908442330558842E-2</v>
      </c>
      <c r="N7" s="48">
        <f t="shared" si="2"/>
        <v>0.59512485136741966</v>
      </c>
      <c r="O7" s="48"/>
    </row>
    <row r="8" spans="1:15" ht="15.75" x14ac:dyDescent="0.25">
      <c r="A8" s="9">
        <v>46077</v>
      </c>
      <c r="B8" s="19" t="s">
        <v>95</v>
      </c>
      <c r="C8" s="59">
        <v>0.50280000000000002</v>
      </c>
      <c r="D8">
        <v>2.375</v>
      </c>
      <c r="E8">
        <v>1.4930000000000001</v>
      </c>
      <c r="F8">
        <v>6.51</v>
      </c>
      <c r="H8">
        <v>0</v>
      </c>
      <c r="I8">
        <v>0.246</v>
      </c>
      <c r="J8">
        <v>1.0589999999999999</v>
      </c>
      <c r="L8" s="48">
        <f t="shared" si="3"/>
        <v>0.23617740652346858</v>
      </c>
      <c r="M8" s="48">
        <f t="shared" si="1"/>
        <v>0.12400556881463803</v>
      </c>
      <c r="N8" s="48">
        <f t="shared" si="2"/>
        <v>0.54206443914081148</v>
      </c>
      <c r="O8" s="48"/>
    </row>
    <row r="9" spans="1:15" ht="15.75" x14ac:dyDescent="0.25">
      <c r="A9" s="9">
        <v>46077</v>
      </c>
      <c r="B9" s="19" t="s">
        <v>96</v>
      </c>
      <c r="C9" s="59">
        <v>0.50329999999999997</v>
      </c>
      <c r="D9">
        <v>2.2349999999999999</v>
      </c>
      <c r="E9">
        <v>1.4159999999999999</v>
      </c>
      <c r="F9">
        <v>7.5019999999999998</v>
      </c>
      <c r="H9">
        <v>0</v>
      </c>
      <c r="I9">
        <v>0.246</v>
      </c>
      <c r="J9">
        <v>1.0589999999999999</v>
      </c>
      <c r="L9" s="48">
        <f t="shared" si="3"/>
        <v>0.22203457182594877</v>
      </c>
      <c r="M9" s="48">
        <f t="shared" si="1"/>
        <v>0.11623286310351678</v>
      </c>
      <c r="N9" s="48">
        <f t="shared" si="2"/>
        <v>0.64007550168885363</v>
      </c>
      <c r="O9" s="48"/>
    </row>
    <row r="10" spans="1:15" ht="15.75" x14ac:dyDescent="0.25">
      <c r="A10" s="9">
        <v>46077</v>
      </c>
      <c r="B10" s="19" t="s">
        <v>97</v>
      </c>
      <c r="C10" s="59">
        <v>0.50219999999999998</v>
      </c>
      <c r="D10">
        <v>1.895</v>
      </c>
      <c r="E10">
        <v>1.2649999999999999</v>
      </c>
      <c r="F10">
        <v>9.58</v>
      </c>
      <c r="H10">
        <v>0</v>
      </c>
      <c r="I10">
        <v>0.246</v>
      </c>
      <c r="J10">
        <v>1.0589999999999999</v>
      </c>
      <c r="L10" s="48">
        <f t="shared" si="3"/>
        <v>0.18866985264834729</v>
      </c>
      <c r="M10" s="48">
        <f t="shared" si="1"/>
        <v>0.10145360414177618</v>
      </c>
      <c r="N10" s="48">
        <f t="shared" si="2"/>
        <v>0.84836718438868985</v>
      </c>
      <c r="O10" s="48"/>
    </row>
    <row r="11" spans="1:15" ht="15.75" x14ac:dyDescent="0.25">
      <c r="A11" s="9">
        <v>46077</v>
      </c>
      <c r="B11" s="19" t="s">
        <v>98</v>
      </c>
      <c r="C11" s="59">
        <v>0.50290000000000001</v>
      </c>
      <c r="D11">
        <v>1.7350000000000001</v>
      </c>
      <c r="E11">
        <v>1.044</v>
      </c>
      <c r="F11">
        <v>6.1319999999999997</v>
      </c>
      <c r="H11">
        <v>0</v>
      </c>
      <c r="I11">
        <v>0.246</v>
      </c>
      <c r="J11">
        <v>1.0589999999999999</v>
      </c>
      <c r="L11" s="48">
        <f t="shared" si="3"/>
        <v>0.17249950288327701</v>
      </c>
      <c r="M11" s="48">
        <f t="shared" si="1"/>
        <v>7.93398289918473E-2</v>
      </c>
      <c r="N11" s="48">
        <f t="shared" si="2"/>
        <v>0.50437462716245773</v>
      </c>
      <c r="O11" s="48"/>
    </row>
    <row r="12" spans="1:15" ht="15.75" x14ac:dyDescent="0.25">
      <c r="A12" s="9">
        <v>46077</v>
      </c>
      <c r="B12" s="19" t="s">
        <v>99</v>
      </c>
      <c r="C12" s="59">
        <v>0.50270000000000004</v>
      </c>
      <c r="D12">
        <v>2.2829999999999999</v>
      </c>
      <c r="E12">
        <v>1.2529999999999999</v>
      </c>
      <c r="F12">
        <v>9.0879999999999992</v>
      </c>
      <c r="H12">
        <v>0</v>
      </c>
      <c r="I12">
        <v>0.246</v>
      </c>
      <c r="J12">
        <v>1.0589999999999999</v>
      </c>
      <c r="L12" s="48">
        <f t="shared" si="3"/>
        <v>0.22707380147205092</v>
      </c>
      <c r="M12" s="48">
        <f t="shared" si="1"/>
        <v>0.10015914064054107</v>
      </c>
      <c r="N12" s="48">
        <f t="shared" si="2"/>
        <v>0.7985876268151979</v>
      </c>
      <c r="O12" s="48"/>
    </row>
    <row r="13" spans="1:15" ht="15.75" x14ac:dyDescent="0.25">
      <c r="A13" s="9">
        <v>46112</v>
      </c>
      <c r="B13" s="19" t="s">
        <v>18</v>
      </c>
      <c r="C13" s="19">
        <v>0.253</v>
      </c>
      <c r="D13">
        <v>1.909</v>
      </c>
      <c r="E13">
        <v>0.92300000000000004</v>
      </c>
      <c r="F13">
        <v>7.2119999999999997</v>
      </c>
      <c r="H13">
        <v>0</v>
      </c>
      <c r="I13">
        <v>7.0999999999999994E-2</v>
      </c>
      <c r="J13">
        <v>0</v>
      </c>
      <c r="L13" s="48">
        <f t="shared" si="3"/>
        <v>0.37727272727272732</v>
      </c>
      <c r="M13" s="48">
        <f t="shared" si="1"/>
        <v>0.16837944664031623</v>
      </c>
      <c r="N13" s="48">
        <f t="shared" si="2"/>
        <v>1.4252964426877472</v>
      </c>
    </row>
    <row r="14" spans="1:15" ht="15.75" x14ac:dyDescent="0.25">
      <c r="A14" s="9">
        <v>46127</v>
      </c>
      <c r="B14" s="19" t="s">
        <v>18</v>
      </c>
      <c r="C14" s="4">
        <v>0.25380000000000003</v>
      </c>
      <c r="D14">
        <v>2.5179999999999998</v>
      </c>
      <c r="E14">
        <v>0.93400000000000005</v>
      </c>
      <c r="F14">
        <v>5.7409999999999997</v>
      </c>
      <c r="H14">
        <v>0.66300000000000003</v>
      </c>
      <c r="I14">
        <v>0.14000000000000001</v>
      </c>
      <c r="J14">
        <v>7.0999999999999994E-2</v>
      </c>
      <c r="L14" s="48">
        <f t="shared" si="3"/>
        <v>0.36544523246650901</v>
      </c>
      <c r="M14" s="48">
        <f t="shared" si="1"/>
        <v>0.15642237982663515</v>
      </c>
      <c r="N14" s="48">
        <f t="shared" si="2"/>
        <v>1.1170212765957448</v>
      </c>
    </row>
    <row r="15" spans="1:15" ht="15.75" x14ac:dyDescent="0.25">
      <c r="L15" s="48"/>
      <c r="M15" s="48"/>
      <c r="N15" s="48"/>
    </row>
    <row r="16" spans="1:15" ht="15.75" x14ac:dyDescent="0.25">
      <c r="L16" s="48"/>
      <c r="M16" s="48"/>
      <c r="N16" s="48"/>
    </row>
    <row r="17" spans="12:14" ht="15.75" x14ac:dyDescent="0.25">
      <c r="L17" s="48"/>
      <c r="M17" s="48"/>
      <c r="N17" s="48"/>
    </row>
    <row r="18" spans="12:14" ht="15.75" x14ac:dyDescent="0.25">
      <c r="L18" s="48"/>
      <c r="M18" s="48"/>
      <c r="N18" s="48"/>
    </row>
    <row r="19" spans="12:14" ht="15.75" x14ac:dyDescent="0.25">
      <c r="L19" s="48"/>
      <c r="M19" s="48"/>
      <c r="N19" s="48"/>
    </row>
    <row r="20" spans="12:14" ht="15.75" x14ac:dyDescent="0.25">
      <c r="L20" s="48"/>
      <c r="M20" s="48"/>
      <c r="N20" s="48"/>
    </row>
    <row r="21" spans="12:14" ht="15.75" x14ac:dyDescent="0.25">
      <c r="L21" s="48"/>
      <c r="M21" s="48"/>
      <c r="N21" s="48"/>
    </row>
    <row r="22" spans="12:14" ht="15.75" x14ac:dyDescent="0.25">
      <c r="L22" s="48"/>
      <c r="M22" s="48"/>
      <c r="N22" s="48"/>
    </row>
    <row r="23" spans="12:14" ht="15.75" x14ac:dyDescent="0.25">
      <c r="L23" s="48"/>
      <c r="M23" s="48"/>
      <c r="N23" s="48"/>
    </row>
    <row r="24" spans="12:14" ht="15.75" x14ac:dyDescent="0.25">
      <c r="L24" s="48"/>
      <c r="M24" s="48"/>
      <c r="N24" s="48"/>
    </row>
    <row r="25" spans="12:14" ht="15.75" x14ac:dyDescent="0.25">
      <c r="L25" s="48"/>
      <c r="M25" s="48"/>
      <c r="N25" s="48"/>
    </row>
    <row r="26" spans="12:14" ht="15.75" x14ac:dyDescent="0.25">
      <c r="L26" s="48"/>
      <c r="M26" s="48"/>
      <c r="N26" s="48"/>
    </row>
    <row r="27" spans="12:14" ht="15.75" x14ac:dyDescent="0.25">
      <c r="L27" s="48"/>
      <c r="M27" s="48"/>
      <c r="N27" s="48"/>
    </row>
    <row r="28" spans="12:14" ht="15.75" x14ac:dyDescent="0.25">
      <c r="L28" s="48"/>
      <c r="M28" s="48"/>
      <c r="N28" s="48"/>
    </row>
    <row r="29" spans="12:14" ht="15.75" x14ac:dyDescent="0.25">
      <c r="L29" s="48"/>
      <c r="M29" s="48"/>
      <c r="N29" s="48"/>
    </row>
    <row r="30" spans="12:14" ht="15.75" x14ac:dyDescent="0.25">
      <c r="L30" s="48"/>
      <c r="M30" s="48"/>
      <c r="N30" s="48"/>
    </row>
    <row r="31" spans="12:14" ht="15.75" x14ac:dyDescent="0.25">
      <c r="L31" s="48"/>
      <c r="M31" s="48"/>
      <c r="N31" s="48"/>
    </row>
    <row r="32" spans="12:14" ht="15.75" x14ac:dyDescent="0.25">
      <c r="L32" s="48"/>
      <c r="M32" s="48"/>
      <c r="N32" s="48"/>
    </row>
    <row r="33" spans="12:14" ht="15.75" x14ac:dyDescent="0.25">
      <c r="L33" s="48"/>
      <c r="M33" s="48"/>
      <c r="N33" s="48"/>
    </row>
    <row r="34" spans="12:14" ht="15.75" x14ac:dyDescent="0.25">
      <c r="L34" s="48"/>
      <c r="M34" s="48"/>
      <c r="N34" s="48"/>
    </row>
    <row r="35" spans="12:14" ht="15.75" x14ac:dyDescent="0.25">
      <c r="L35" s="48"/>
      <c r="M35" s="48"/>
      <c r="N35" s="48"/>
    </row>
    <row r="36" spans="12:14" ht="15.75" x14ac:dyDescent="0.25">
      <c r="L36" s="48"/>
      <c r="M36" s="48"/>
      <c r="N36" s="48"/>
    </row>
    <row r="37" spans="12:14" ht="15.75" x14ac:dyDescent="0.25">
      <c r="L37" s="48"/>
      <c r="M37" s="48"/>
      <c r="N37" s="48"/>
    </row>
    <row r="38" spans="12:14" ht="15.75" x14ac:dyDescent="0.25">
      <c r="L38" s="48"/>
      <c r="M38" s="48"/>
      <c r="N38" s="48"/>
    </row>
    <row r="39" spans="12:14" ht="15.75" x14ac:dyDescent="0.25">
      <c r="L39" s="48"/>
      <c r="M39" s="48"/>
      <c r="N39" s="48"/>
    </row>
    <row r="40" spans="12:14" ht="15.75" x14ac:dyDescent="0.25">
      <c r="L40" s="48"/>
      <c r="M40" s="48"/>
      <c r="N40" s="48"/>
    </row>
    <row r="41" spans="12:14" ht="15.75" x14ac:dyDescent="0.25">
      <c r="L41" s="48"/>
      <c r="M41" s="48"/>
      <c r="N41" s="48"/>
    </row>
    <row r="42" spans="12:14" ht="15.75" x14ac:dyDescent="0.25">
      <c r="L42" s="48"/>
      <c r="M42" s="48"/>
      <c r="N42" s="48"/>
    </row>
    <row r="43" spans="12:14" ht="15.75" x14ac:dyDescent="0.25">
      <c r="L43" s="48"/>
      <c r="M43" s="48"/>
      <c r="N43" s="48"/>
    </row>
    <row r="44" spans="12:14" ht="15.75" x14ac:dyDescent="0.25">
      <c r="L44" s="48"/>
      <c r="M44" s="48"/>
      <c r="N44" s="48"/>
    </row>
    <row r="45" spans="12:14" ht="15.75" x14ac:dyDescent="0.25">
      <c r="L45" s="48"/>
      <c r="M45" s="48"/>
      <c r="N45" s="48"/>
    </row>
    <row r="46" spans="12:14" ht="15.75" x14ac:dyDescent="0.25">
      <c r="L46" s="48"/>
      <c r="M46" s="48"/>
      <c r="N46" s="48"/>
    </row>
    <row r="47" spans="12:14" ht="15.75" x14ac:dyDescent="0.25">
      <c r="L47" s="48"/>
      <c r="M47" s="48"/>
      <c r="N47" s="48"/>
    </row>
    <row r="48" spans="12:14" ht="15.75" x14ac:dyDescent="0.25">
      <c r="L48" s="48"/>
      <c r="M48" s="48"/>
      <c r="N48" s="48"/>
    </row>
    <row r="49" spans="12:14" ht="15.75" x14ac:dyDescent="0.25">
      <c r="L49" s="48"/>
      <c r="M49" s="48"/>
      <c r="N49" s="48"/>
    </row>
    <row r="50" spans="12:14" ht="15.75" x14ac:dyDescent="0.25">
      <c r="L50" s="48"/>
      <c r="M50" s="48"/>
      <c r="N50" s="48"/>
    </row>
    <row r="51" spans="12:14" ht="15.75" x14ac:dyDescent="0.25">
      <c r="L51" s="48"/>
      <c r="M51" s="48"/>
      <c r="N51" s="48"/>
    </row>
    <row r="52" spans="12:14" ht="15.75" x14ac:dyDescent="0.25">
      <c r="L52" s="48"/>
      <c r="M52" s="48"/>
      <c r="N52" s="48"/>
    </row>
    <row r="53" spans="12:14" ht="15.75" x14ac:dyDescent="0.25">
      <c r="L53" s="48"/>
      <c r="M53" s="48"/>
      <c r="N53" s="48"/>
    </row>
    <row r="54" spans="12:14" ht="15.75" x14ac:dyDescent="0.25">
      <c r="L54" s="48"/>
      <c r="M54" s="48"/>
      <c r="N54" s="48"/>
    </row>
    <row r="55" spans="12:14" ht="15.75" x14ac:dyDescent="0.25">
      <c r="L55" s="48"/>
      <c r="M55" s="48"/>
      <c r="N55" s="48"/>
    </row>
    <row r="56" spans="12:14" ht="15.75" x14ac:dyDescent="0.25">
      <c r="L56" s="48"/>
      <c r="M56" s="48"/>
      <c r="N56" s="48"/>
    </row>
    <row r="57" spans="12:14" ht="15.75" x14ac:dyDescent="0.25">
      <c r="L57" s="48"/>
      <c r="M57" s="48"/>
      <c r="N57" s="48"/>
    </row>
    <row r="58" spans="12:14" ht="15.75" x14ac:dyDescent="0.25">
      <c r="L58" s="48"/>
      <c r="M58" s="48"/>
      <c r="N58" s="48"/>
    </row>
    <row r="59" spans="12:14" ht="15.75" x14ac:dyDescent="0.25">
      <c r="L59" s="48"/>
      <c r="M59" s="48"/>
      <c r="N59" s="48"/>
    </row>
    <row r="60" spans="12:14" ht="15.75" x14ac:dyDescent="0.25">
      <c r="L60" s="48"/>
      <c r="M60" s="48"/>
      <c r="N60" s="48"/>
    </row>
    <row r="61" spans="12:14" ht="15.75" x14ac:dyDescent="0.25">
      <c r="L61" s="48"/>
      <c r="M61" s="48"/>
      <c r="N61" s="48"/>
    </row>
    <row r="62" spans="12:14" ht="15.75" x14ac:dyDescent="0.25">
      <c r="L62" s="48"/>
      <c r="M62" s="48"/>
      <c r="N62" s="48"/>
    </row>
    <row r="63" spans="12:14" ht="15.75" x14ac:dyDescent="0.25">
      <c r="L63" s="48"/>
      <c r="M63" s="48"/>
      <c r="N63" s="48"/>
    </row>
    <row r="64" spans="12:14" ht="15.75" x14ac:dyDescent="0.25">
      <c r="L64" s="48"/>
      <c r="M64" s="48"/>
      <c r="N64" s="48"/>
    </row>
    <row r="65" spans="12:14" ht="15.75" x14ac:dyDescent="0.25">
      <c r="L65" s="48"/>
      <c r="M65" s="48"/>
      <c r="N65" s="48"/>
    </row>
    <row r="66" spans="12:14" ht="15.75" x14ac:dyDescent="0.25">
      <c r="L66" s="48"/>
      <c r="M66" s="48"/>
      <c r="N66" s="48"/>
    </row>
    <row r="67" spans="12:14" ht="15.75" x14ac:dyDescent="0.25">
      <c r="L67" s="48"/>
      <c r="M67" s="48"/>
      <c r="N67" s="48"/>
    </row>
    <row r="68" spans="12:14" ht="15.75" x14ac:dyDescent="0.25">
      <c r="L68" s="48"/>
      <c r="M68" s="48"/>
      <c r="N68" s="48"/>
    </row>
    <row r="69" spans="12:14" ht="15.75" x14ac:dyDescent="0.25">
      <c r="L69" s="48"/>
      <c r="M69" s="48"/>
      <c r="N69" s="48"/>
    </row>
    <row r="70" spans="12:14" ht="15.75" x14ac:dyDescent="0.25">
      <c r="L70" s="48"/>
      <c r="M70" s="48"/>
      <c r="N70" s="48"/>
    </row>
    <row r="71" spans="12:14" ht="15.75" x14ac:dyDescent="0.25">
      <c r="L71" s="48"/>
      <c r="M71" s="48"/>
      <c r="N71" s="48"/>
    </row>
    <row r="72" spans="12:14" ht="15.75" x14ac:dyDescent="0.25">
      <c r="L72" s="48"/>
      <c r="M72" s="48"/>
      <c r="N72" s="48"/>
    </row>
    <row r="73" spans="12:14" ht="15.75" x14ac:dyDescent="0.25">
      <c r="L73" s="48"/>
      <c r="M73" s="48"/>
      <c r="N73" s="48"/>
    </row>
    <row r="74" spans="12:14" ht="15.75" x14ac:dyDescent="0.25">
      <c r="L74" s="48"/>
      <c r="M74" s="48"/>
      <c r="N74" s="48"/>
    </row>
    <row r="75" spans="12:14" ht="15.75" x14ac:dyDescent="0.25">
      <c r="L75" s="48"/>
      <c r="M75" s="48"/>
      <c r="N75" s="48"/>
    </row>
    <row r="76" spans="12:14" ht="15.75" x14ac:dyDescent="0.25">
      <c r="L76" s="48"/>
      <c r="M76" s="48"/>
      <c r="N76" s="48"/>
    </row>
    <row r="77" spans="12:14" ht="15.75" x14ac:dyDescent="0.25">
      <c r="L77" s="48"/>
      <c r="M77" s="48"/>
      <c r="N77" s="48"/>
    </row>
    <row r="78" spans="12:14" ht="15.75" x14ac:dyDescent="0.25">
      <c r="L78" s="48"/>
      <c r="M78" s="48"/>
      <c r="N78" s="48"/>
    </row>
    <row r="79" spans="12:14" ht="15.75" x14ac:dyDescent="0.25">
      <c r="L79" s="48"/>
      <c r="M79" s="48"/>
      <c r="N79" s="48"/>
    </row>
    <row r="80" spans="12:14" ht="15.75" x14ac:dyDescent="0.25">
      <c r="L80" s="48"/>
      <c r="M80" s="48"/>
      <c r="N80" s="48"/>
    </row>
    <row r="81" spans="12:14" ht="15.75" x14ac:dyDescent="0.25">
      <c r="L81" s="48"/>
      <c r="M81" s="48"/>
      <c r="N81" s="48"/>
    </row>
    <row r="82" spans="12:14" ht="15.75" x14ac:dyDescent="0.25">
      <c r="L82" s="48"/>
      <c r="M82" s="48"/>
      <c r="N82" s="48"/>
    </row>
    <row r="83" spans="12:14" ht="15.75" x14ac:dyDescent="0.25">
      <c r="L83" s="48"/>
      <c r="M83" s="48"/>
      <c r="N83" s="48"/>
    </row>
    <row r="84" spans="12:14" ht="15.75" x14ac:dyDescent="0.25">
      <c r="L84" s="48"/>
      <c r="M84" s="48"/>
      <c r="N84" s="48"/>
    </row>
    <row r="85" spans="12:14" ht="15.75" x14ac:dyDescent="0.25">
      <c r="L85" s="48"/>
      <c r="M85" s="48"/>
      <c r="N85" s="48"/>
    </row>
    <row r="86" spans="12:14" ht="15.75" x14ac:dyDescent="0.25">
      <c r="L86" s="48"/>
      <c r="M86" s="48"/>
      <c r="N86" s="48"/>
    </row>
    <row r="87" spans="12:14" ht="15.75" x14ac:dyDescent="0.25">
      <c r="L87" s="48"/>
      <c r="M87" s="48"/>
      <c r="N87" s="48"/>
    </row>
    <row r="88" spans="12:14" ht="15.75" x14ac:dyDescent="0.25">
      <c r="L88" s="48"/>
      <c r="M88" s="48"/>
      <c r="N88" s="48"/>
    </row>
    <row r="89" spans="12:14" ht="15.75" x14ac:dyDescent="0.25">
      <c r="L89" s="48"/>
      <c r="M89" s="48"/>
      <c r="N89" s="48"/>
    </row>
    <row r="90" spans="12:14" ht="15.75" x14ac:dyDescent="0.25">
      <c r="L90" s="48"/>
      <c r="M90" s="48"/>
      <c r="N90" s="48"/>
    </row>
    <row r="91" spans="12:14" ht="15.75" x14ac:dyDescent="0.25">
      <c r="L91" s="48"/>
      <c r="M91" s="48"/>
      <c r="N91" s="48"/>
    </row>
    <row r="92" spans="12:14" ht="15.75" x14ac:dyDescent="0.25">
      <c r="L92" s="48"/>
      <c r="M92" s="48"/>
      <c r="N92" s="48"/>
    </row>
    <row r="93" spans="12:14" ht="15.75" x14ac:dyDescent="0.25">
      <c r="L93" s="48"/>
      <c r="M93" s="48"/>
      <c r="N93" s="48"/>
    </row>
    <row r="94" spans="12:14" ht="15.75" x14ac:dyDescent="0.25">
      <c r="L94" s="48"/>
      <c r="M94" s="48"/>
      <c r="N94" s="48"/>
    </row>
    <row r="95" spans="12:14" ht="15.75" x14ac:dyDescent="0.25">
      <c r="L95" s="48"/>
      <c r="M95" s="48"/>
      <c r="N95" s="48"/>
    </row>
    <row r="96" spans="12:14" ht="15.75" x14ac:dyDescent="0.25">
      <c r="L96" s="48"/>
      <c r="M96" s="48"/>
      <c r="N96" s="48"/>
    </row>
    <row r="97" spans="12:14" ht="15.75" x14ac:dyDescent="0.25">
      <c r="L97" s="48"/>
      <c r="M97" s="48"/>
      <c r="N97" s="48"/>
    </row>
    <row r="98" spans="12:14" ht="15.75" x14ac:dyDescent="0.25">
      <c r="L98" s="48"/>
      <c r="M98" s="48"/>
      <c r="N98" s="48"/>
    </row>
    <row r="99" spans="12:14" ht="15.75" x14ac:dyDescent="0.25">
      <c r="L99" s="48"/>
      <c r="M99" s="48"/>
      <c r="N99" s="48"/>
    </row>
    <row r="100" spans="12:14" ht="15.75" x14ac:dyDescent="0.25">
      <c r="L100" s="48"/>
      <c r="M100" s="48"/>
      <c r="N100" s="48"/>
    </row>
    <row r="101" spans="12:14" ht="15.75" x14ac:dyDescent="0.25">
      <c r="L101" s="48"/>
      <c r="M101" s="48"/>
      <c r="N101" s="48"/>
    </row>
    <row r="102" spans="12:14" ht="15.75" x14ac:dyDescent="0.25">
      <c r="L102" s="48"/>
      <c r="M102" s="48"/>
      <c r="N102" s="48"/>
    </row>
    <row r="103" spans="12:14" ht="15.75" x14ac:dyDescent="0.25">
      <c r="L103" s="48"/>
      <c r="M103" s="48"/>
      <c r="N103" s="48"/>
    </row>
    <row r="104" spans="12:14" ht="15.75" x14ac:dyDescent="0.25">
      <c r="L104" s="48"/>
      <c r="M104" s="48"/>
      <c r="N104" s="48"/>
    </row>
    <row r="105" spans="12:14" ht="15.75" x14ac:dyDescent="0.25">
      <c r="L105" s="48"/>
      <c r="M105" s="48"/>
      <c r="N105" s="48"/>
    </row>
    <row r="106" spans="12:14" ht="15.75" x14ac:dyDescent="0.25">
      <c r="L106" s="48"/>
      <c r="M106" s="48"/>
      <c r="N106" s="48"/>
    </row>
    <row r="107" spans="12:14" ht="15.75" x14ac:dyDescent="0.25">
      <c r="L107" s="48"/>
      <c r="M107" s="48"/>
      <c r="N107" s="48"/>
    </row>
    <row r="108" spans="12:14" ht="15.75" x14ac:dyDescent="0.25">
      <c r="L108" s="48"/>
      <c r="M108" s="48"/>
      <c r="N108" s="48"/>
    </row>
    <row r="109" spans="12:14" ht="15.75" x14ac:dyDescent="0.25">
      <c r="L109" s="48"/>
      <c r="M109" s="48"/>
      <c r="N109" s="48"/>
    </row>
    <row r="110" spans="12:14" ht="15.75" x14ac:dyDescent="0.25">
      <c r="L110" s="48"/>
      <c r="M110" s="48"/>
      <c r="N110" s="48"/>
    </row>
    <row r="111" spans="12:14" ht="15.75" x14ac:dyDescent="0.25">
      <c r="L111" s="48"/>
      <c r="M111" s="48"/>
      <c r="N111" s="48"/>
    </row>
    <row r="112" spans="12:14" ht="15.75" x14ac:dyDescent="0.25">
      <c r="L112" s="48"/>
      <c r="M112" s="48"/>
      <c r="N112" s="48"/>
    </row>
    <row r="113" spans="12:14" ht="15.75" x14ac:dyDescent="0.25">
      <c r="L113" s="48"/>
      <c r="M113" s="48"/>
      <c r="N113" s="48"/>
    </row>
    <row r="114" spans="12:14" ht="15.75" x14ac:dyDescent="0.25">
      <c r="L114" s="48"/>
      <c r="M114" s="48"/>
      <c r="N114" s="48"/>
    </row>
    <row r="115" spans="12:14" ht="15.75" x14ac:dyDescent="0.25">
      <c r="L115" s="48"/>
      <c r="M115" s="48"/>
      <c r="N115" s="48"/>
    </row>
    <row r="116" spans="12:14" ht="15.75" x14ac:dyDescent="0.25">
      <c r="L116" s="48"/>
      <c r="M116" s="48"/>
      <c r="N116" s="48"/>
    </row>
    <row r="117" spans="12:14" ht="15.75" x14ac:dyDescent="0.25">
      <c r="L117" s="48"/>
      <c r="M117" s="48"/>
      <c r="N117" s="48"/>
    </row>
    <row r="118" spans="12:14" ht="15.75" x14ac:dyDescent="0.25">
      <c r="L118" s="48"/>
      <c r="M118" s="48"/>
      <c r="N118" s="48"/>
    </row>
    <row r="119" spans="12:14" ht="15.75" x14ac:dyDescent="0.25">
      <c r="L119" s="48"/>
      <c r="M119" s="48"/>
      <c r="N119" s="48"/>
    </row>
    <row r="120" spans="12:14" ht="15.75" x14ac:dyDescent="0.25">
      <c r="L120" s="48"/>
      <c r="M120" s="48"/>
      <c r="N120" s="48"/>
    </row>
    <row r="121" spans="12:14" ht="15.75" x14ac:dyDescent="0.25">
      <c r="L121" s="48"/>
      <c r="M121" s="48"/>
      <c r="N121" s="48"/>
    </row>
    <row r="122" spans="12:14" ht="15.75" x14ac:dyDescent="0.25">
      <c r="L122" s="48"/>
      <c r="M122" s="48"/>
      <c r="N122" s="48"/>
    </row>
    <row r="123" spans="12:14" ht="15.75" x14ac:dyDescent="0.25">
      <c r="L123" s="48"/>
      <c r="M123" s="48"/>
      <c r="N123" s="48"/>
    </row>
    <row r="124" spans="12:14" ht="15.75" x14ac:dyDescent="0.25">
      <c r="L124" s="48"/>
      <c r="M124" s="48"/>
      <c r="N124" s="48"/>
    </row>
    <row r="125" spans="12:14" ht="15.75" x14ac:dyDescent="0.25">
      <c r="L125" s="48"/>
      <c r="M125" s="48"/>
      <c r="N125" s="48"/>
    </row>
    <row r="126" spans="12:14" ht="15.75" x14ac:dyDescent="0.25">
      <c r="L126" s="48"/>
      <c r="M126" s="48"/>
      <c r="N126" s="48"/>
    </row>
    <row r="127" spans="12:14" ht="15.75" x14ac:dyDescent="0.25">
      <c r="L127" s="48"/>
      <c r="M127" s="48"/>
      <c r="N127" s="48"/>
    </row>
    <row r="128" spans="12:14" ht="15.75" x14ac:dyDescent="0.25">
      <c r="L128" s="48"/>
      <c r="M128" s="48"/>
      <c r="N128" s="48"/>
    </row>
    <row r="129" spans="12:14" ht="15.75" x14ac:dyDescent="0.25">
      <c r="L129" s="48"/>
      <c r="M129" s="48"/>
      <c r="N129" s="48"/>
    </row>
    <row r="130" spans="12:14" ht="15.75" x14ac:dyDescent="0.25">
      <c r="L130" s="48"/>
      <c r="M130" s="48"/>
      <c r="N130" s="48"/>
    </row>
    <row r="131" spans="12:14" ht="15.75" x14ac:dyDescent="0.25">
      <c r="L131" s="48"/>
      <c r="M131" s="48"/>
      <c r="N131" s="48"/>
    </row>
    <row r="132" spans="12:14" ht="15.75" x14ac:dyDescent="0.25">
      <c r="L132" s="48"/>
      <c r="M132" s="48"/>
      <c r="N132" s="48"/>
    </row>
    <row r="133" spans="12:14" ht="15.75" x14ac:dyDescent="0.25">
      <c r="L133" s="48"/>
      <c r="M133" s="48"/>
      <c r="N133" s="48"/>
    </row>
    <row r="134" spans="12:14" ht="15.75" x14ac:dyDescent="0.25">
      <c r="L134" s="48"/>
      <c r="M134" s="48"/>
      <c r="N134" s="48"/>
    </row>
    <row r="135" spans="12:14" ht="15.75" x14ac:dyDescent="0.25">
      <c r="L135" s="48"/>
      <c r="M135" s="48"/>
      <c r="N135" s="48"/>
    </row>
    <row r="136" spans="12:14" ht="15.75" x14ac:dyDescent="0.25">
      <c r="L136" s="48"/>
      <c r="M136" s="48"/>
      <c r="N136" s="48"/>
    </row>
    <row r="137" spans="12:14" ht="15.75" x14ac:dyDescent="0.25">
      <c r="L137" s="48"/>
      <c r="M137" s="48"/>
      <c r="N137" s="48"/>
    </row>
    <row r="138" spans="12:14" ht="15.75" x14ac:dyDescent="0.25">
      <c r="L138" s="48"/>
      <c r="M138" s="48"/>
      <c r="N138" s="48"/>
    </row>
    <row r="139" spans="12:14" ht="15.75" x14ac:dyDescent="0.25">
      <c r="L139" s="48"/>
      <c r="M139" s="48"/>
      <c r="N139" s="48"/>
    </row>
    <row r="140" spans="12:14" ht="15.75" x14ac:dyDescent="0.25">
      <c r="L140" s="48"/>
      <c r="M140" s="48"/>
      <c r="N140" s="48"/>
    </row>
    <row r="141" spans="12:14" ht="15.75" x14ac:dyDescent="0.25">
      <c r="L141" s="48"/>
      <c r="M141" s="48"/>
      <c r="N141" s="48"/>
    </row>
    <row r="142" spans="12:14" ht="15.75" x14ac:dyDescent="0.25">
      <c r="L142" s="48"/>
      <c r="M142" s="48"/>
      <c r="N142" s="48"/>
    </row>
    <row r="143" spans="12:14" ht="15.75" x14ac:dyDescent="0.25">
      <c r="L143" s="48"/>
      <c r="M143" s="48"/>
      <c r="N143" s="48"/>
    </row>
    <row r="144" spans="12:14" ht="15.75" x14ac:dyDescent="0.25">
      <c r="L144" s="48"/>
      <c r="M144" s="48"/>
      <c r="N144" s="48"/>
    </row>
    <row r="145" spans="12:14" ht="15.75" x14ac:dyDescent="0.25">
      <c r="L145" s="48"/>
      <c r="M145" s="48"/>
      <c r="N145" s="48"/>
    </row>
    <row r="146" spans="12:14" ht="15.75" x14ac:dyDescent="0.25">
      <c r="L146" s="48"/>
      <c r="M146" s="48"/>
      <c r="N146" s="48"/>
    </row>
    <row r="147" spans="12:14" ht="15.75" x14ac:dyDescent="0.25">
      <c r="L147" s="48"/>
      <c r="M147" s="48"/>
      <c r="N147" s="48"/>
    </row>
    <row r="148" spans="12:14" ht="15.75" x14ac:dyDescent="0.25">
      <c r="L148" s="48"/>
      <c r="M148" s="48"/>
      <c r="N148" s="48"/>
    </row>
    <row r="149" spans="12:14" ht="15.75" x14ac:dyDescent="0.25">
      <c r="L149" s="48"/>
      <c r="M149" s="48"/>
      <c r="N149" s="48"/>
    </row>
    <row r="150" spans="12:14" ht="15.75" x14ac:dyDescent="0.25">
      <c r="L150" s="48"/>
      <c r="M150" s="48"/>
      <c r="N150" s="48"/>
    </row>
    <row r="151" spans="12:14" ht="15.75" x14ac:dyDescent="0.25">
      <c r="L151" s="48"/>
      <c r="M151" s="48"/>
      <c r="N151" s="48"/>
    </row>
    <row r="152" spans="12:14" ht="15.75" x14ac:dyDescent="0.25">
      <c r="L152" s="48"/>
      <c r="M152" s="48"/>
      <c r="N152" s="48"/>
    </row>
    <row r="153" spans="12:14" ht="15.75" x14ac:dyDescent="0.25">
      <c r="L153" s="48"/>
      <c r="M153" s="48"/>
      <c r="N153" s="48"/>
    </row>
    <row r="154" spans="12:14" ht="15.75" x14ac:dyDescent="0.25">
      <c r="L154" s="48"/>
      <c r="M154" s="48"/>
      <c r="N154" s="48"/>
    </row>
    <row r="155" spans="12:14" ht="15.75" x14ac:dyDescent="0.25">
      <c r="L155" s="48"/>
      <c r="M155" s="48"/>
      <c r="N155" s="48"/>
    </row>
    <row r="156" spans="12:14" ht="15.75" x14ac:dyDescent="0.25">
      <c r="L156" s="48"/>
      <c r="M156" s="48"/>
      <c r="N156" s="48"/>
    </row>
    <row r="157" spans="12:14" ht="15.75" x14ac:dyDescent="0.25">
      <c r="L157" s="48"/>
      <c r="M157" s="48"/>
      <c r="N157" s="48"/>
    </row>
    <row r="158" spans="12:14" ht="15.75" x14ac:dyDescent="0.25">
      <c r="L158" s="48"/>
      <c r="M158" s="48"/>
      <c r="N158" s="48"/>
    </row>
    <row r="159" spans="12:14" ht="15.75" x14ac:dyDescent="0.25">
      <c r="L159" s="48"/>
      <c r="M159" s="48"/>
      <c r="N159" s="48"/>
    </row>
    <row r="160" spans="12:14" ht="15.75" x14ac:dyDescent="0.25">
      <c r="L160" s="48"/>
      <c r="M160" s="48"/>
      <c r="N160" s="48"/>
    </row>
    <row r="161" spans="12:14" ht="15.75" x14ac:dyDescent="0.25">
      <c r="L161" s="48"/>
      <c r="M161" s="48"/>
      <c r="N161" s="48"/>
    </row>
    <row r="162" spans="12:14" ht="15.75" x14ac:dyDescent="0.25">
      <c r="L162" s="48"/>
      <c r="M162" s="48"/>
      <c r="N162" s="48"/>
    </row>
    <row r="163" spans="12:14" ht="15.75" x14ac:dyDescent="0.25">
      <c r="L163" s="48"/>
      <c r="M163" s="48"/>
      <c r="N163" s="48"/>
    </row>
    <row r="164" spans="12:14" ht="15.75" x14ac:dyDescent="0.25">
      <c r="L164" s="48"/>
      <c r="M164" s="48"/>
      <c r="N164" s="48"/>
    </row>
    <row r="165" spans="12:14" ht="15.75" x14ac:dyDescent="0.25">
      <c r="L165" s="48"/>
      <c r="M165" s="48"/>
      <c r="N165" s="48"/>
    </row>
    <row r="166" spans="12:14" ht="15.75" x14ac:dyDescent="0.25">
      <c r="L166" s="48"/>
      <c r="M166" s="48"/>
      <c r="N166" s="48"/>
    </row>
    <row r="167" spans="12:14" ht="15.75" x14ac:dyDescent="0.25">
      <c r="L167" s="48"/>
      <c r="M167" s="48"/>
      <c r="N167" s="48"/>
    </row>
    <row r="168" spans="12:14" ht="15.75" x14ac:dyDescent="0.25">
      <c r="L168" s="48"/>
      <c r="M168" s="48"/>
      <c r="N168" s="48"/>
    </row>
    <row r="169" spans="12:14" ht="15.75" x14ac:dyDescent="0.25">
      <c r="L169" s="48"/>
      <c r="M169" s="48"/>
      <c r="N169" s="48"/>
    </row>
    <row r="170" spans="12:14" ht="15.75" x14ac:dyDescent="0.25">
      <c r="L170" s="48"/>
      <c r="M170" s="48"/>
      <c r="N170" s="48"/>
    </row>
    <row r="171" spans="12:14" ht="15.75" x14ac:dyDescent="0.25">
      <c r="L171" s="48"/>
      <c r="M171" s="48"/>
      <c r="N171" s="48"/>
    </row>
    <row r="172" spans="12:14" ht="15.75" x14ac:dyDescent="0.25">
      <c r="L172" s="48"/>
      <c r="M172" s="48"/>
      <c r="N172" s="48"/>
    </row>
    <row r="173" spans="12:14" ht="15.75" x14ac:dyDescent="0.25">
      <c r="L173" s="48"/>
      <c r="M173" s="48"/>
      <c r="N173" s="48"/>
    </row>
    <row r="174" spans="12:14" ht="15.75" x14ac:dyDescent="0.25">
      <c r="L174" s="48"/>
      <c r="M174" s="48"/>
      <c r="N174" s="48"/>
    </row>
    <row r="175" spans="12:14" ht="15.75" x14ac:dyDescent="0.25">
      <c r="L175" s="48"/>
      <c r="M175" s="48"/>
      <c r="N175" s="48"/>
    </row>
    <row r="176" spans="12:14" ht="15.75" x14ac:dyDescent="0.25">
      <c r="L176" s="48"/>
      <c r="M176" s="48"/>
      <c r="N176" s="48"/>
    </row>
    <row r="177" spans="12:14" ht="15.75" x14ac:dyDescent="0.25">
      <c r="L177" s="48"/>
      <c r="M177" s="48"/>
      <c r="N177" s="48"/>
    </row>
    <row r="178" spans="12:14" ht="15.75" x14ac:dyDescent="0.25">
      <c r="L178" s="48"/>
      <c r="M178" s="48"/>
      <c r="N178" s="48"/>
    </row>
    <row r="179" spans="12:14" ht="15.75" x14ac:dyDescent="0.25">
      <c r="L179" s="48"/>
      <c r="M179" s="48"/>
      <c r="N179" s="48"/>
    </row>
    <row r="180" spans="12:14" ht="15.75" x14ac:dyDescent="0.25">
      <c r="L180" s="48"/>
      <c r="M180" s="48"/>
      <c r="N180" s="48"/>
    </row>
    <row r="181" spans="12:14" ht="15.75" x14ac:dyDescent="0.25">
      <c r="L181" s="48"/>
      <c r="M181" s="48"/>
      <c r="N181" s="48"/>
    </row>
    <row r="182" spans="12:14" ht="15.75" x14ac:dyDescent="0.25">
      <c r="L182" s="48"/>
      <c r="M182" s="48"/>
      <c r="N182" s="48"/>
    </row>
    <row r="183" spans="12:14" ht="15.75" x14ac:dyDescent="0.25">
      <c r="L183" s="48"/>
      <c r="M183" s="48"/>
      <c r="N183" s="48"/>
    </row>
    <row r="184" spans="12:14" ht="15.75" x14ac:dyDescent="0.25">
      <c r="L184" s="48"/>
      <c r="M184" s="48"/>
      <c r="N184" s="48"/>
    </row>
    <row r="185" spans="12:14" ht="15.75" x14ac:dyDescent="0.25">
      <c r="L185" s="48"/>
      <c r="M185" s="48"/>
      <c r="N185" s="48"/>
    </row>
    <row r="186" spans="12:14" ht="15.75" x14ac:dyDescent="0.25">
      <c r="L186" s="48"/>
      <c r="M186" s="48"/>
      <c r="N186" s="48"/>
    </row>
    <row r="187" spans="12:14" ht="15.75" x14ac:dyDescent="0.25">
      <c r="L187" s="48"/>
      <c r="M187" s="48"/>
      <c r="N187" s="48"/>
    </row>
    <row r="188" spans="12:14" ht="15.75" x14ac:dyDescent="0.25">
      <c r="L188" s="48"/>
      <c r="M188" s="48"/>
      <c r="N188" s="48"/>
    </row>
    <row r="189" spans="12:14" ht="15.75" x14ac:dyDescent="0.25">
      <c r="L189" s="48"/>
      <c r="M189" s="48"/>
      <c r="N189" s="48"/>
    </row>
    <row r="190" spans="12:14" ht="15.75" x14ac:dyDescent="0.25">
      <c r="L190" s="48"/>
      <c r="M190" s="48"/>
      <c r="N190" s="48"/>
    </row>
    <row r="191" spans="12:14" ht="15.75" x14ac:dyDescent="0.25">
      <c r="L191" s="48"/>
      <c r="M191" s="48"/>
      <c r="N191" s="48"/>
    </row>
    <row r="192" spans="12:14" ht="15.75" x14ac:dyDescent="0.25">
      <c r="L192" s="48"/>
      <c r="M192" s="48"/>
      <c r="N192" s="48"/>
    </row>
    <row r="193" spans="12:14" ht="15.75" x14ac:dyDescent="0.25">
      <c r="L193" s="48"/>
      <c r="M193" s="48"/>
      <c r="N193" s="48"/>
    </row>
    <row r="194" spans="12:14" ht="15.75" x14ac:dyDescent="0.25">
      <c r="L194" s="48"/>
      <c r="M194" s="48"/>
      <c r="N194" s="48"/>
    </row>
    <row r="195" spans="12:14" ht="15.75" x14ac:dyDescent="0.25">
      <c r="L195" s="48"/>
      <c r="M195" s="48"/>
      <c r="N195" s="48"/>
    </row>
    <row r="196" spans="12:14" ht="15.75" x14ac:dyDescent="0.25">
      <c r="L196" s="48"/>
      <c r="M196" s="48"/>
      <c r="N196" s="48"/>
    </row>
    <row r="197" spans="12:14" ht="15.75" x14ac:dyDescent="0.25">
      <c r="L197" s="48"/>
      <c r="M197" s="48"/>
      <c r="N197" s="48"/>
    </row>
    <row r="198" spans="12:14" ht="15.75" x14ac:dyDescent="0.25">
      <c r="L198" s="48"/>
      <c r="M198" s="48"/>
      <c r="N198" s="48"/>
    </row>
    <row r="199" spans="12:14" ht="15.75" x14ac:dyDescent="0.25">
      <c r="L199" s="48"/>
      <c r="M199" s="48"/>
      <c r="N199" s="48"/>
    </row>
    <row r="200" spans="12:14" ht="15.75" x14ac:dyDescent="0.25">
      <c r="L200" s="48"/>
      <c r="M200" s="48"/>
      <c r="N200" s="48"/>
    </row>
    <row r="201" spans="12:14" ht="15.75" x14ac:dyDescent="0.25">
      <c r="L201" s="48"/>
      <c r="M201" s="48"/>
      <c r="N201" s="48"/>
    </row>
    <row r="202" spans="12:14" ht="15.75" x14ac:dyDescent="0.25">
      <c r="L202" s="48"/>
      <c r="M202" s="48"/>
      <c r="N202" s="48"/>
    </row>
    <row r="203" spans="12:14" ht="15.75" x14ac:dyDescent="0.25">
      <c r="L203" s="48"/>
      <c r="M203" s="48"/>
      <c r="N203" s="48"/>
    </row>
    <row r="204" spans="12:14" ht="15.75" x14ac:dyDescent="0.25">
      <c r="L204" s="48"/>
      <c r="M204" s="48"/>
      <c r="N204" s="48"/>
    </row>
    <row r="205" spans="12:14" ht="15.75" x14ac:dyDescent="0.25">
      <c r="L205" s="48"/>
      <c r="M205" s="48"/>
      <c r="N205" s="48"/>
    </row>
    <row r="206" spans="12:14" ht="15.75" x14ac:dyDescent="0.25">
      <c r="L206" s="48"/>
      <c r="M206" s="48"/>
      <c r="N206" s="48"/>
    </row>
    <row r="207" spans="12:14" ht="15.75" x14ac:dyDescent="0.25">
      <c r="L207" s="48"/>
      <c r="M207" s="48"/>
      <c r="N207" s="48"/>
    </row>
    <row r="208" spans="12:14" ht="15.75" x14ac:dyDescent="0.25">
      <c r="L208" s="48"/>
      <c r="M208" s="48"/>
      <c r="N208" s="48"/>
    </row>
    <row r="209" spans="12:14" ht="15.75" x14ac:dyDescent="0.25">
      <c r="L209" s="48"/>
      <c r="M209" s="48"/>
      <c r="N209" s="48"/>
    </row>
    <row r="210" spans="12:14" ht="15.75" x14ac:dyDescent="0.25">
      <c r="L210" s="48"/>
      <c r="M210" s="48"/>
      <c r="N210" s="48"/>
    </row>
    <row r="211" spans="12:14" ht="15.75" x14ac:dyDescent="0.25">
      <c r="L211" s="48"/>
      <c r="M211" s="48"/>
      <c r="N211" s="48"/>
    </row>
    <row r="212" spans="12:14" ht="15.75" x14ac:dyDescent="0.25">
      <c r="L212" s="48"/>
      <c r="M212" s="48"/>
      <c r="N212" s="48"/>
    </row>
    <row r="213" spans="12:14" ht="15.75" x14ac:dyDescent="0.25">
      <c r="L213" s="48"/>
      <c r="M213" s="48"/>
      <c r="N213" s="48"/>
    </row>
    <row r="214" spans="12:14" ht="15.75" x14ac:dyDescent="0.25">
      <c r="L214" s="48"/>
      <c r="M214" s="48"/>
      <c r="N214" s="48"/>
    </row>
    <row r="215" spans="12:14" ht="15.75" x14ac:dyDescent="0.25">
      <c r="L215" s="48"/>
      <c r="M215" s="48"/>
      <c r="N215" s="48"/>
    </row>
    <row r="216" spans="12:14" ht="15.75" x14ac:dyDescent="0.25">
      <c r="L216" s="48"/>
      <c r="M216" s="48"/>
      <c r="N216" s="48"/>
    </row>
    <row r="217" spans="12:14" ht="15.75" x14ac:dyDescent="0.25">
      <c r="L217" s="48"/>
      <c r="M217" s="48"/>
      <c r="N217" s="48"/>
    </row>
    <row r="218" spans="12:14" ht="15.75" x14ac:dyDescent="0.25">
      <c r="L218" s="48"/>
      <c r="M218" s="48"/>
      <c r="N218" s="48"/>
    </row>
    <row r="219" spans="12:14" ht="15.75" x14ac:dyDescent="0.25">
      <c r="L219" s="48"/>
      <c r="M219" s="48"/>
      <c r="N219" s="48"/>
    </row>
    <row r="220" spans="12:14" ht="15.75" x14ac:dyDescent="0.25">
      <c r="L220" s="48"/>
      <c r="M220" s="48"/>
      <c r="N220" s="48"/>
    </row>
    <row r="221" spans="12:14" ht="15.75" x14ac:dyDescent="0.25">
      <c r="L221" s="48"/>
      <c r="M221" s="48"/>
      <c r="N221" s="48"/>
    </row>
    <row r="222" spans="12:14" ht="15.75" x14ac:dyDescent="0.25">
      <c r="L222" s="48"/>
      <c r="M222" s="48"/>
      <c r="N222" s="48"/>
    </row>
    <row r="223" spans="12:14" ht="15.75" x14ac:dyDescent="0.25">
      <c r="L223" s="48"/>
      <c r="M223" s="48"/>
      <c r="N223" s="48"/>
    </row>
    <row r="224" spans="12:14" ht="15.75" x14ac:dyDescent="0.25">
      <c r="L224" s="48"/>
      <c r="M224" s="48"/>
      <c r="N224" s="48"/>
    </row>
    <row r="225" spans="12:14" ht="15.75" x14ac:dyDescent="0.25">
      <c r="L225" s="48"/>
      <c r="M225" s="48"/>
      <c r="N225" s="48"/>
    </row>
    <row r="226" spans="12:14" ht="15.75" x14ac:dyDescent="0.25">
      <c r="L226" s="48"/>
      <c r="M226" s="48"/>
      <c r="N226" s="48"/>
    </row>
    <row r="227" spans="12:14" ht="15.75" x14ac:dyDescent="0.25">
      <c r="L227" s="48"/>
      <c r="M227" s="48"/>
      <c r="N227" s="48"/>
    </row>
    <row r="228" spans="12:14" ht="15.75" x14ac:dyDescent="0.25">
      <c r="L228" s="48"/>
      <c r="M228" s="48"/>
      <c r="N228" s="48"/>
    </row>
    <row r="229" spans="12:14" ht="15.75" x14ac:dyDescent="0.25">
      <c r="L229" s="48"/>
      <c r="M229" s="48"/>
      <c r="N229" s="48"/>
    </row>
    <row r="230" spans="12:14" ht="15.75" x14ac:dyDescent="0.25">
      <c r="L230" s="48"/>
      <c r="M230" s="48"/>
      <c r="N230" s="48"/>
    </row>
    <row r="231" spans="12:14" ht="15.75" x14ac:dyDescent="0.25">
      <c r="L231" s="48"/>
      <c r="M231" s="48"/>
      <c r="N231" s="48"/>
    </row>
    <row r="232" spans="12:14" ht="15.75" x14ac:dyDescent="0.25">
      <c r="L232" s="48"/>
      <c r="M232" s="48"/>
      <c r="N232" s="48"/>
    </row>
    <row r="233" spans="12:14" ht="15.75" x14ac:dyDescent="0.25">
      <c r="L233" s="48"/>
      <c r="M233" s="48"/>
      <c r="N233" s="48"/>
    </row>
    <row r="234" spans="12:14" ht="15.75" x14ac:dyDescent="0.25">
      <c r="L234" s="48"/>
      <c r="M234" s="48"/>
      <c r="N234" s="48"/>
    </row>
    <row r="235" spans="12:14" ht="15.75" x14ac:dyDescent="0.25">
      <c r="L235" s="48"/>
      <c r="M235" s="48"/>
      <c r="N235" s="48"/>
    </row>
    <row r="236" spans="12:14" ht="15.75" x14ac:dyDescent="0.25">
      <c r="L236" s="48"/>
      <c r="M236" s="48"/>
      <c r="N236" s="48"/>
    </row>
    <row r="237" spans="12:14" ht="15.75" x14ac:dyDescent="0.25">
      <c r="L237" s="48"/>
      <c r="M237" s="48"/>
      <c r="N237" s="48"/>
    </row>
    <row r="238" spans="12:14" ht="15.75" x14ac:dyDescent="0.25">
      <c r="L238" s="48"/>
      <c r="M238" s="48"/>
      <c r="N238" s="48"/>
    </row>
    <row r="239" spans="12:14" ht="15.75" x14ac:dyDescent="0.25">
      <c r="L239" s="48"/>
      <c r="M239" s="48"/>
      <c r="N239" s="48"/>
    </row>
    <row r="240" spans="12:14" ht="15.75" x14ac:dyDescent="0.25">
      <c r="L240" s="48"/>
      <c r="M240" s="48"/>
      <c r="N240" s="48"/>
    </row>
    <row r="241" spans="12:14" ht="15.75" x14ac:dyDescent="0.25">
      <c r="L241" s="48"/>
      <c r="M241" s="48"/>
      <c r="N241" s="48"/>
    </row>
    <row r="242" spans="12:14" ht="15.75" x14ac:dyDescent="0.25">
      <c r="L242" s="48"/>
      <c r="M242" s="48"/>
      <c r="N242" s="48"/>
    </row>
    <row r="243" spans="12:14" ht="15.75" x14ac:dyDescent="0.25">
      <c r="L243" s="48"/>
      <c r="M243" s="48"/>
      <c r="N243" s="48"/>
    </row>
    <row r="244" spans="12:14" ht="15.75" x14ac:dyDescent="0.25">
      <c r="L244" s="48"/>
      <c r="M244" s="48"/>
      <c r="N244" s="48"/>
    </row>
    <row r="245" spans="12:14" ht="15.75" x14ac:dyDescent="0.25">
      <c r="L245" s="48"/>
      <c r="M245" s="48"/>
      <c r="N245" s="48"/>
    </row>
    <row r="246" spans="12:14" ht="15.75" x14ac:dyDescent="0.25">
      <c r="L246" s="48"/>
      <c r="M246" s="48"/>
      <c r="N246" s="48"/>
    </row>
    <row r="247" spans="12:14" ht="15.75" x14ac:dyDescent="0.25">
      <c r="L247" s="48"/>
      <c r="M247" s="48"/>
      <c r="N247" s="48"/>
    </row>
    <row r="248" spans="12:14" ht="15.75" x14ac:dyDescent="0.25">
      <c r="L248" s="48"/>
      <c r="M248" s="48"/>
      <c r="N248" s="48"/>
    </row>
    <row r="249" spans="12:14" ht="15.75" x14ac:dyDescent="0.25">
      <c r="L249" s="48"/>
      <c r="M249" s="48"/>
      <c r="N249" s="48"/>
    </row>
    <row r="250" spans="12:14" ht="15.75" x14ac:dyDescent="0.25">
      <c r="L250" s="48"/>
      <c r="M250" s="48"/>
      <c r="N250" s="48"/>
    </row>
    <row r="251" spans="12:14" ht="15.75" x14ac:dyDescent="0.25">
      <c r="L251" s="48"/>
      <c r="M251" s="48"/>
      <c r="N251" s="48"/>
    </row>
    <row r="252" spans="12:14" ht="15.75" x14ac:dyDescent="0.25">
      <c r="L252" s="48"/>
      <c r="M252" s="48"/>
      <c r="N252" s="48"/>
    </row>
    <row r="253" spans="12:14" ht="15.75" x14ac:dyDescent="0.25">
      <c r="L253" s="48"/>
      <c r="M253" s="48"/>
      <c r="N253" s="48"/>
    </row>
    <row r="254" spans="12:14" ht="15.75" x14ac:dyDescent="0.25">
      <c r="L254" s="48"/>
      <c r="M254" s="48"/>
      <c r="N254" s="48"/>
    </row>
    <row r="255" spans="12:14" ht="15.75" x14ac:dyDescent="0.25">
      <c r="L255" s="48"/>
      <c r="M255" s="48"/>
      <c r="N255" s="48"/>
    </row>
    <row r="256" spans="12:14" ht="15.75" x14ac:dyDescent="0.25">
      <c r="L256" s="48"/>
      <c r="M256" s="48"/>
      <c r="N256" s="48"/>
    </row>
    <row r="257" spans="12:14" ht="15.75" x14ac:dyDescent="0.25">
      <c r="L257" s="48"/>
      <c r="M257" s="48"/>
      <c r="N257" s="48"/>
    </row>
    <row r="258" spans="12:14" ht="15.75" x14ac:dyDescent="0.25">
      <c r="L258" s="48"/>
      <c r="M258" s="48"/>
      <c r="N258" s="48"/>
    </row>
    <row r="259" spans="12:14" ht="15.75" x14ac:dyDescent="0.25">
      <c r="L259" s="48"/>
      <c r="M259" s="48"/>
      <c r="N259" s="48"/>
    </row>
    <row r="260" spans="12:14" ht="15.75" x14ac:dyDescent="0.25">
      <c r="L260" s="48"/>
      <c r="M260" s="48"/>
      <c r="N260" s="48"/>
    </row>
    <row r="261" spans="12:14" ht="15.75" x14ac:dyDescent="0.25">
      <c r="L261" s="48"/>
      <c r="M261" s="48"/>
      <c r="N261" s="48"/>
    </row>
    <row r="262" spans="12:14" ht="15.75" x14ac:dyDescent="0.25">
      <c r="L262" s="48"/>
      <c r="M262" s="48"/>
      <c r="N262" s="48"/>
    </row>
    <row r="263" spans="12:14" ht="15.75" x14ac:dyDescent="0.25">
      <c r="L263" s="48"/>
      <c r="M263" s="48"/>
      <c r="N263" s="48"/>
    </row>
    <row r="264" spans="12:14" ht="15.75" x14ac:dyDescent="0.25">
      <c r="L264" s="48"/>
      <c r="M264" s="48"/>
      <c r="N264" s="48"/>
    </row>
    <row r="265" spans="12:14" ht="15.75" x14ac:dyDescent="0.25">
      <c r="L265" s="48"/>
      <c r="M265" s="48"/>
      <c r="N265" s="48"/>
    </row>
    <row r="266" spans="12:14" ht="15.75" x14ac:dyDescent="0.25">
      <c r="L266" s="48"/>
      <c r="M266" s="48"/>
      <c r="N266" s="48"/>
    </row>
    <row r="267" spans="12:14" ht="15.75" x14ac:dyDescent="0.25">
      <c r="L267" s="48"/>
      <c r="M267" s="48"/>
      <c r="N267" s="48"/>
    </row>
    <row r="268" spans="12:14" ht="15.75" x14ac:dyDescent="0.25">
      <c r="L268" s="48"/>
      <c r="M268" s="48"/>
      <c r="N268" s="48"/>
    </row>
    <row r="269" spans="12:14" ht="15.75" x14ac:dyDescent="0.25">
      <c r="L269" s="48"/>
      <c r="M269" s="48"/>
      <c r="N269" s="48"/>
    </row>
    <row r="270" spans="12:14" ht="15.75" x14ac:dyDescent="0.25">
      <c r="L270" s="48"/>
      <c r="M270" s="48"/>
      <c r="N270" s="48"/>
    </row>
    <row r="271" spans="12:14" ht="15.75" x14ac:dyDescent="0.25">
      <c r="L271" s="48"/>
      <c r="M271" s="48"/>
      <c r="N271" s="48"/>
    </row>
    <row r="272" spans="12:14" ht="15.75" x14ac:dyDescent="0.25">
      <c r="L272" s="48"/>
      <c r="M272" s="48"/>
      <c r="N272" s="48"/>
    </row>
    <row r="273" spans="12:14" ht="15.75" x14ac:dyDescent="0.25">
      <c r="L273" s="48"/>
      <c r="M273" s="48"/>
      <c r="N273" s="48"/>
    </row>
    <row r="274" spans="12:14" ht="15.75" x14ac:dyDescent="0.25">
      <c r="L274" s="48"/>
      <c r="M274" s="48"/>
      <c r="N274" s="48"/>
    </row>
    <row r="275" spans="12:14" ht="15.75" x14ac:dyDescent="0.25">
      <c r="L275" s="48"/>
      <c r="M275" s="48"/>
      <c r="N275" s="48"/>
    </row>
    <row r="276" spans="12:14" ht="15.75" x14ac:dyDescent="0.25">
      <c r="L276" s="48"/>
      <c r="M276" s="48"/>
      <c r="N276" s="48"/>
    </row>
    <row r="277" spans="12:14" ht="15.75" x14ac:dyDescent="0.25">
      <c r="L277" s="48"/>
      <c r="M277" s="48"/>
      <c r="N277" s="48"/>
    </row>
    <row r="278" spans="12:14" ht="15.75" x14ac:dyDescent="0.25">
      <c r="L278" s="48"/>
      <c r="M278" s="48"/>
      <c r="N278" s="48"/>
    </row>
    <row r="279" spans="12:14" ht="15.75" x14ac:dyDescent="0.25">
      <c r="L279" s="48"/>
      <c r="M279" s="48"/>
      <c r="N279" s="48"/>
    </row>
    <row r="280" spans="12:14" ht="15.75" x14ac:dyDescent="0.25">
      <c r="L280" s="48"/>
      <c r="M280" s="48"/>
      <c r="N280" s="48"/>
    </row>
    <row r="281" spans="12:14" ht="15.75" x14ac:dyDescent="0.25">
      <c r="L281" s="48"/>
      <c r="M281" s="48"/>
      <c r="N281" s="48"/>
    </row>
    <row r="282" spans="12:14" ht="15.75" x14ac:dyDescent="0.25">
      <c r="L282" s="48"/>
      <c r="M282" s="48"/>
      <c r="N282" s="48"/>
    </row>
    <row r="283" spans="12:14" ht="15.75" x14ac:dyDescent="0.25">
      <c r="L283" s="48"/>
      <c r="M283" s="48"/>
      <c r="N283" s="48"/>
    </row>
    <row r="284" spans="12:14" ht="15.75" x14ac:dyDescent="0.25">
      <c r="L284" s="48"/>
      <c r="M284" s="48"/>
      <c r="N284" s="48"/>
    </row>
    <row r="285" spans="12:14" ht="15.75" x14ac:dyDescent="0.25">
      <c r="L285" s="48"/>
      <c r="M285" s="48"/>
      <c r="N285" s="48"/>
    </row>
    <row r="286" spans="12:14" ht="15.75" x14ac:dyDescent="0.25">
      <c r="L286" s="48"/>
      <c r="M286" s="48"/>
      <c r="N286" s="48"/>
    </row>
    <row r="287" spans="12:14" ht="15.75" x14ac:dyDescent="0.25">
      <c r="L287" s="48"/>
      <c r="M287" s="48"/>
      <c r="N287" s="48"/>
    </row>
    <row r="288" spans="12:14" ht="15.75" x14ac:dyDescent="0.25">
      <c r="L288" s="48"/>
      <c r="M288" s="48"/>
      <c r="N288" s="48"/>
    </row>
    <row r="289" spans="12:14" ht="15.75" x14ac:dyDescent="0.25">
      <c r="L289" s="48"/>
      <c r="M289" s="48"/>
      <c r="N289" s="48"/>
    </row>
    <row r="290" spans="12:14" ht="15.75" x14ac:dyDescent="0.25">
      <c r="L290" s="48"/>
      <c r="M290" s="48"/>
      <c r="N290" s="48"/>
    </row>
    <row r="291" spans="12:14" ht="15.75" x14ac:dyDescent="0.25">
      <c r="L291" s="48"/>
      <c r="M291" s="48"/>
      <c r="N291" s="48"/>
    </row>
    <row r="292" spans="12:14" ht="15.75" x14ac:dyDescent="0.25">
      <c r="L292" s="48"/>
      <c r="M292" s="48"/>
      <c r="N292" s="48"/>
    </row>
    <row r="293" spans="12:14" ht="15.75" x14ac:dyDescent="0.25">
      <c r="L293" s="48"/>
      <c r="M293" s="48"/>
      <c r="N293" s="48"/>
    </row>
    <row r="294" spans="12:14" ht="15.75" x14ac:dyDescent="0.25">
      <c r="L294" s="48"/>
      <c r="M294" s="48"/>
      <c r="N294" s="48"/>
    </row>
    <row r="295" spans="12:14" ht="15.75" x14ac:dyDescent="0.25">
      <c r="L295" s="48"/>
      <c r="M295" s="48"/>
      <c r="N295" s="48"/>
    </row>
    <row r="296" spans="12:14" ht="15.75" x14ac:dyDescent="0.25">
      <c r="L296" s="48"/>
      <c r="M296" s="48"/>
      <c r="N296" s="48"/>
    </row>
    <row r="297" spans="12:14" ht="15.75" x14ac:dyDescent="0.25">
      <c r="L297" s="48"/>
      <c r="M297" s="48"/>
      <c r="N297" s="48"/>
    </row>
    <row r="298" spans="12:14" ht="15.75" x14ac:dyDescent="0.25">
      <c r="L298" s="48"/>
      <c r="M298" s="48"/>
      <c r="N298" s="48"/>
    </row>
    <row r="299" spans="12:14" ht="15.75" x14ac:dyDescent="0.25">
      <c r="L299" s="48"/>
      <c r="M299" s="48"/>
      <c r="N299" s="48"/>
    </row>
    <row r="300" spans="12:14" ht="15.75" x14ac:dyDescent="0.25">
      <c r="L300" s="48"/>
      <c r="M300" s="48"/>
      <c r="N300" s="48"/>
    </row>
    <row r="301" spans="12:14" ht="15.75" x14ac:dyDescent="0.25">
      <c r="L301" s="48"/>
      <c r="M301" s="48"/>
      <c r="N301" s="48"/>
    </row>
    <row r="302" spans="12:14" ht="15.75" x14ac:dyDescent="0.25">
      <c r="L302" s="48"/>
      <c r="M302" s="48"/>
      <c r="N302" s="48"/>
    </row>
    <row r="303" spans="12:14" ht="15.75" x14ac:dyDescent="0.25">
      <c r="L303" s="48"/>
      <c r="M303" s="48"/>
      <c r="N303" s="48"/>
    </row>
    <row r="304" spans="12:14" ht="15.75" x14ac:dyDescent="0.25">
      <c r="L304" s="48"/>
      <c r="M304" s="48"/>
      <c r="N304" s="48"/>
    </row>
    <row r="305" spans="12:14" ht="15.75" x14ac:dyDescent="0.25">
      <c r="L305" s="48"/>
      <c r="M305" s="48"/>
      <c r="N305" s="48"/>
    </row>
    <row r="306" spans="12:14" ht="15.75" x14ac:dyDescent="0.25">
      <c r="L306" s="48"/>
      <c r="M306" s="48"/>
      <c r="N306" s="48"/>
    </row>
    <row r="307" spans="12:14" ht="15.75" x14ac:dyDescent="0.25">
      <c r="L307" s="48"/>
      <c r="M307" s="48"/>
      <c r="N307" s="48"/>
    </row>
    <row r="308" spans="12:14" ht="15.75" x14ac:dyDescent="0.25">
      <c r="L308" s="48"/>
      <c r="M308" s="48"/>
      <c r="N308" s="48"/>
    </row>
    <row r="309" spans="12:14" ht="15.75" x14ac:dyDescent="0.25">
      <c r="L309" s="48"/>
      <c r="M309" s="48"/>
      <c r="N309" s="48"/>
    </row>
    <row r="310" spans="12:14" ht="15.75" x14ac:dyDescent="0.25">
      <c r="L310" s="48"/>
      <c r="M310" s="48"/>
      <c r="N310" s="48"/>
    </row>
    <row r="311" spans="12:14" ht="15.75" x14ac:dyDescent="0.25">
      <c r="L311" s="48"/>
      <c r="M311" s="48"/>
      <c r="N311" s="48"/>
    </row>
    <row r="312" spans="12:14" ht="15.75" x14ac:dyDescent="0.25">
      <c r="L312" s="48"/>
      <c r="M312" s="48"/>
      <c r="N312" s="48"/>
    </row>
    <row r="313" spans="12:14" ht="15.75" x14ac:dyDescent="0.25">
      <c r="L313" s="48"/>
      <c r="M313" s="48"/>
      <c r="N313" s="48"/>
    </row>
    <row r="314" spans="12:14" ht="15.75" x14ac:dyDescent="0.25">
      <c r="L314" s="48"/>
      <c r="M314" s="48"/>
      <c r="N314" s="48"/>
    </row>
    <row r="315" spans="12:14" ht="15.75" x14ac:dyDescent="0.25">
      <c r="L315" s="48"/>
      <c r="M315" s="48"/>
      <c r="N315" s="48"/>
    </row>
    <row r="316" spans="12:14" ht="15.75" x14ac:dyDescent="0.25">
      <c r="L316" s="48"/>
      <c r="M316" s="48"/>
      <c r="N316" s="48"/>
    </row>
    <row r="317" spans="12:14" ht="15.75" x14ac:dyDescent="0.25">
      <c r="L317" s="48"/>
      <c r="M317" s="48"/>
      <c r="N317" s="48"/>
    </row>
    <row r="318" spans="12:14" ht="15.75" x14ac:dyDescent="0.25">
      <c r="L318" s="48"/>
      <c r="M318" s="48"/>
      <c r="N318" s="48"/>
    </row>
    <row r="319" spans="12:14" ht="15.75" x14ac:dyDescent="0.25">
      <c r="L319" s="48"/>
      <c r="M319" s="48"/>
      <c r="N319" s="48"/>
    </row>
    <row r="320" spans="12:14" ht="15.75" x14ac:dyDescent="0.25">
      <c r="L320" s="48"/>
      <c r="M320" s="48"/>
      <c r="N320" s="48"/>
    </row>
    <row r="321" spans="12:14" ht="15.75" x14ac:dyDescent="0.25">
      <c r="L321" s="48"/>
      <c r="M321" s="48"/>
      <c r="N321" s="48"/>
    </row>
    <row r="322" spans="12:14" ht="15.75" x14ac:dyDescent="0.25">
      <c r="L322" s="48"/>
      <c r="M322" s="48"/>
      <c r="N322" s="48"/>
    </row>
    <row r="323" spans="12:14" ht="15.75" x14ac:dyDescent="0.25">
      <c r="L323" s="48"/>
      <c r="M323" s="48"/>
      <c r="N323" s="48"/>
    </row>
    <row r="324" spans="12:14" ht="15.75" x14ac:dyDescent="0.25">
      <c r="L324" s="48"/>
      <c r="M324" s="48"/>
      <c r="N324" s="48"/>
    </row>
    <row r="325" spans="12:14" ht="15.75" x14ac:dyDescent="0.25">
      <c r="L325" s="48"/>
      <c r="M325" s="48"/>
      <c r="N325" s="48"/>
    </row>
    <row r="326" spans="12:14" ht="15.75" x14ac:dyDescent="0.25">
      <c r="L326" s="48"/>
      <c r="M326" s="48"/>
      <c r="N326" s="48"/>
    </row>
    <row r="327" spans="12:14" ht="15.75" x14ac:dyDescent="0.25">
      <c r="L327" s="48"/>
      <c r="M327" s="48"/>
      <c r="N327" s="48"/>
    </row>
    <row r="328" spans="12:14" ht="15.75" x14ac:dyDescent="0.25">
      <c r="L328" s="48"/>
      <c r="M328" s="48"/>
      <c r="N328" s="48"/>
    </row>
    <row r="329" spans="12:14" ht="15.75" x14ac:dyDescent="0.25">
      <c r="L329" s="48"/>
      <c r="M329" s="48"/>
      <c r="N329" s="48"/>
    </row>
    <row r="330" spans="12:14" ht="15.75" x14ac:dyDescent="0.25">
      <c r="L330" s="48"/>
      <c r="M330" s="48"/>
      <c r="N330" s="48"/>
    </row>
    <row r="331" spans="12:14" ht="15.75" x14ac:dyDescent="0.25">
      <c r="L331" s="48"/>
      <c r="M331" s="48"/>
      <c r="N331" s="48"/>
    </row>
    <row r="332" spans="12:14" ht="15.75" x14ac:dyDescent="0.25">
      <c r="L332" s="48"/>
      <c r="M332" s="48"/>
      <c r="N332" s="48"/>
    </row>
    <row r="333" spans="12:14" ht="15.75" x14ac:dyDescent="0.25">
      <c r="L333" s="48"/>
      <c r="M333" s="48"/>
      <c r="N333" s="48"/>
    </row>
    <row r="334" spans="12:14" ht="15.75" x14ac:dyDescent="0.25">
      <c r="L334" s="48"/>
      <c r="M334" s="48"/>
      <c r="N334" s="48"/>
    </row>
    <row r="335" spans="12:14" ht="15.75" x14ac:dyDescent="0.25">
      <c r="L335" s="48"/>
      <c r="M335" s="48"/>
      <c r="N335" s="48"/>
    </row>
    <row r="336" spans="12:14" ht="15.75" x14ac:dyDescent="0.25">
      <c r="L336" s="48"/>
      <c r="M336" s="48"/>
      <c r="N336" s="48"/>
    </row>
    <row r="337" spans="12:14" ht="15.75" x14ac:dyDescent="0.25">
      <c r="L337" s="48"/>
      <c r="M337" s="48"/>
      <c r="N337" s="48"/>
    </row>
    <row r="338" spans="12:14" ht="15.75" x14ac:dyDescent="0.25">
      <c r="L338" s="48"/>
      <c r="M338" s="48"/>
      <c r="N338" s="48"/>
    </row>
    <row r="339" spans="12:14" ht="15.75" x14ac:dyDescent="0.25">
      <c r="L339" s="48"/>
      <c r="M339" s="48"/>
      <c r="N339" s="48"/>
    </row>
    <row r="340" spans="12:14" ht="15.75" x14ac:dyDescent="0.25">
      <c r="L340" s="48"/>
      <c r="M340" s="48"/>
      <c r="N340" s="48"/>
    </row>
    <row r="341" spans="12:14" ht="15.75" x14ac:dyDescent="0.25">
      <c r="L341" s="48"/>
      <c r="M341" s="48"/>
      <c r="N341" s="48"/>
    </row>
    <row r="342" spans="12:14" ht="15.75" x14ac:dyDescent="0.25">
      <c r="L342" s="48"/>
      <c r="M342" s="48"/>
      <c r="N342" s="48"/>
    </row>
    <row r="343" spans="12:14" ht="15.75" x14ac:dyDescent="0.25">
      <c r="L343" s="48"/>
      <c r="M343" s="48"/>
      <c r="N343" s="48"/>
    </row>
    <row r="344" spans="12:14" ht="15.75" x14ac:dyDescent="0.25">
      <c r="L344" s="48"/>
      <c r="M344" s="48"/>
      <c r="N344" s="48"/>
    </row>
    <row r="345" spans="12:14" ht="15.75" x14ac:dyDescent="0.25">
      <c r="L345" s="48"/>
      <c r="M345" s="48"/>
      <c r="N345" s="48"/>
    </row>
    <row r="346" spans="12:14" ht="15.75" x14ac:dyDescent="0.25">
      <c r="L346" s="48"/>
      <c r="M346" s="48"/>
      <c r="N346" s="48"/>
    </row>
    <row r="347" spans="12:14" ht="15.75" x14ac:dyDescent="0.25">
      <c r="L347" s="48"/>
      <c r="M347" s="48"/>
      <c r="N347" s="48"/>
    </row>
    <row r="348" spans="12:14" ht="15.75" x14ac:dyDescent="0.25">
      <c r="L348" s="48"/>
      <c r="M348" s="48"/>
      <c r="N348" s="48"/>
    </row>
    <row r="349" spans="12:14" ht="15.75" x14ac:dyDescent="0.25">
      <c r="L349" s="48"/>
      <c r="M349" s="48"/>
      <c r="N349" s="48"/>
    </row>
    <row r="350" spans="12:14" ht="15.75" x14ac:dyDescent="0.25">
      <c r="L350" s="48"/>
      <c r="M350" s="48"/>
      <c r="N350" s="48"/>
    </row>
    <row r="351" spans="12:14" ht="15.75" x14ac:dyDescent="0.25">
      <c r="L351" s="48"/>
      <c r="M351" s="48"/>
      <c r="N351" s="48"/>
    </row>
    <row r="352" spans="12:14" ht="15.75" x14ac:dyDescent="0.25">
      <c r="L352" s="48"/>
      <c r="M352" s="48"/>
      <c r="N352" s="48"/>
    </row>
    <row r="353" spans="12:14" ht="15.75" x14ac:dyDescent="0.25">
      <c r="L353" s="48"/>
      <c r="M353" s="48"/>
      <c r="N353" s="48"/>
    </row>
    <row r="354" spans="12:14" ht="15.75" x14ac:dyDescent="0.25">
      <c r="L354" s="48"/>
      <c r="M354" s="48"/>
      <c r="N354" s="48"/>
    </row>
    <row r="355" spans="12:14" ht="15.75" x14ac:dyDescent="0.25">
      <c r="L355" s="48"/>
      <c r="M355" s="48"/>
      <c r="N355" s="48"/>
    </row>
    <row r="356" spans="12:14" ht="15.75" x14ac:dyDescent="0.25">
      <c r="L356" s="48"/>
      <c r="M356" s="48"/>
      <c r="N356" s="48"/>
    </row>
    <row r="357" spans="12:14" ht="15.75" x14ac:dyDescent="0.25">
      <c r="L357" s="48"/>
      <c r="M357" s="48"/>
      <c r="N357" s="48"/>
    </row>
    <row r="358" spans="12:14" ht="15.75" x14ac:dyDescent="0.25">
      <c r="L358" s="48"/>
      <c r="M358" s="48"/>
      <c r="N358" s="48"/>
    </row>
    <row r="359" spans="12:14" ht="15.75" x14ac:dyDescent="0.25">
      <c r="L359" s="48"/>
      <c r="M359" s="48"/>
      <c r="N359" s="48"/>
    </row>
    <row r="360" spans="12:14" ht="15.75" x14ac:dyDescent="0.25">
      <c r="L360" s="48"/>
      <c r="M360" s="48"/>
      <c r="N360" s="48"/>
    </row>
    <row r="361" spans="12:14" ht="15.75" x14ac:dyDescent="0.25">
      <c r="L361" s="48"/>
      <c r="M361" s="48"/>
      <c r="N361" s="48"/>
    </row>
    <row r="362" spans="12:14" ht="15.75" x14ac:dyDescent="0.25">
      <c r="L362" s="48"/>
      <c r="M362" s="48"/>
      <c r="N362" s="48"/>
    </row>
    <row r="363" spans="12:14" ht="15.75" x14ac:dyDescent="0.25">
      <c r="L363" s="48"/>
      <c r="M363" s="48"/>
      <c r="N363" s="48"/>
    </row>
    <row r="364" spans="12:14" ht="15.75" x14ac:dyDescent="0.25">
      <c r="L364" s="48"/>
      <c r="M364" s="48"/>
      <c r="N364" s="48"/>
    </row>
    <row r="365" spans="12:14" ht="15.75" x14ac:dyDescent="0.25">
      <c r="L365" s="48"/>
      <c r="M365" s="48"/>
      <c r="N365" s="48"/>
    </row>
    <row r="366" spans="12:14" ht="15.75" x14ac:dyDescent="0.25">
      <c r="L366" s="48"/>
      <c r="M366" s="48"/>
      <c r="N366" s="48"/>
    </row>
    <row r="367" spans="12:14" ht="15.75" x14ac:dyDescent="0.25">
      <c r="L367" s="48"/>
      <c r="M367" s="48"/>
      <c r="N367" s="48"/>
    </row>
    <row r="368" spans="12:14" ht="15.75" x14ac:dyDescent="0.25">
      <c r="L368" s="48"/>
      <c r="M368" s="48"/>
      <c r="N368" s="48"/>
    </row>
    <row r="369" spans="12:14" ht="15.75" x14ac:dyDescent="0.25">
      <c r="L369" s="48"/>
      <c r="M369" s="48"/>
      <c r="N369" s="48"/>
    </row>
    <row r="370" spans="12:14" ht="15.75" x14ac:dyDescent="0.25">
      <c r="L370" s="48"/>
      <c r="M370" s="48"/>
      <c r="N370" s="48"/>
    </row>
    <row r="371" spans="12:14" ht="15.75" x14ac:dyDescent="0.25">
      <c r="L371" s="48"/>
      <c r="M371" s="48"/>
      <c r="N371" s="48"/>
    </row>
    <row r="372" spans="12:14" ht="15.75" x14ac:dyDescent="0.25">
      <c r="L372" s="48"/>
      <c r="M372" s="48"/>
      <c r="N372" s="48"/>
    </row>
    <row r="373" spans="12:14" ht="15.75" x14ac:dyDescent="0.25">
      <c r="L373" s="48"/>
      <c r="M373" s="48"/>
      <c r="N373" s="48"/>
    </row>
    <row r="374" spans="12:14" ht="15.75" x14ac:dyDescent="0.25">
      <c r="L374" s="48"/>
      <c r="M374" s="48"/>
      <c r="N374" s="48"/>
    </row>
    <row r="375" spans="12:14" ht="15.75" x14ac:dyDescent="0.25">
      <c r="L375" s="48"/>
      <c r="M375" s="48"/>
      <c r="N375" s="48"/>
    </row>
    <row r="376" spans="12:14" ht="15.75" x14ac:dyDescent="0.25">
      <c r="L376" s="48"/>
      <c r="M376" s="48"/>
      <c r="N376" s="48"/>
    </row>
    <row r="377" spans="12:14" ht="15.75" x14ac:dyDescent="0.25">
      <c r="L377" s="48"/>
      <c r="M377" s="48"/>
      <c r="N377" s="48"/>
    </row>
    <row r="378" spans="12:14" ht="15.75" x14ac:dyDescent="0.25">
      <c r="L378" s="48"/>
      <c r="M378" s="48"/>
      <c r="N378" s="48"/>
    </row>
    <row r="379" spans="12:14" ht="15.75" x14ac:dyDescent="0.25">
      <c r="L379" s="48"/>
      <c r="M379" s="48"/>
      <c r="N379" s="48"/>
    </row>
    <row r="380" spans="12:14" ht="15.75" x14ac:dyDescent="0.25">
      <c r="L380" s="48"/>
      <c r="M380" s="48"/>
      <c r="N380" s="48"/>
    </row>
    <row r="381" spans="12:14" ht="15.75" x14ac:dyDescent="0.25">
      <c r="L381" s="48"/>
      <c r="M381" s="48"/>
      <c r="N381" s="48"/>
    </row>
    <row r="382" spans="12:14" ht="15.75" x14ac:dyDescent="0.25">
      <c r="L382" s="48"/>
      <c r="M382" s="48"/>
      <c r="N382" s="48"/>
    </row>
    <row r="383" spans="12:14" ht="15.75" x14ac:dyDescent="0.25">
      <c r="L383" s="48"/>
      <c r="M383" s="48"/>
      <c r="N383" s="48"/>
    </row>
    <row r="384" spans="12:14" ht="15.75" x14ac:dyDescent="0.25">
      <c r="L384" s="48"/>
      <c r="M384" s="48"/>
      <c r="N384" s="48"/>
    </row>
    <row r="385" spans="12:14" ht="15.75" x14ac:dyDescent="0.25">
      <c r="L385" s="48"/>
      <c r="M385" s="48"/>
      <c r="N385" s="48"/>
    </row>
    <row r="386" spans="12:14" ht="15.75" x14ac:dyDescent="0.25">
      <c r="L386" s="48"/>
      <c r="M386" s="48"/>
      <c r="N386" s="48"/>
    </row>
    <row r="387" spans="12:14" ht="15.75" x14ac:dyDescent="0.25">
      <c r="L387" s="48"/>
      <c r="M387" s="48"/>
      <c r="N387" s="48"/>
    </row>
    <row r="388" spans="12:14" ht="15.75" x14ac:dyDescent="0.25">
      <c r="L388" s="48"/>
      <c r="M388" s="48"/>
      <c r="N388" s="48"/>
    </row>
    <row r="389" spans="12:14" ht="15.75" x14ac:dyDescent="0.25">
      <c r="L389" s="48"/>
      <c r="M389" s="48"/>
      <c r="N389" s="48"/>
    </row>
    <row r="390" spans="12:14" ht="15.75" x14ac:dyDescent="0.25">
      <c r="L390" s="48"/>
      <c r="M390" s="48"/>
      <c r="N390" s="48"/>
    </row>
    <row r="391" spans="12:14" ht="15.75" x14ac:dyDescent="0.25">
      <c r="L391" s="48"/>
      <c r="M391" s="48"/>
      <c r="N391" s="48"/>
    </row>
    <row r="392" spans="12:14" ht="15.75" x14ac:dyDescent="0.25">
      <c r="L392" s="48"/>
      <c r="M392" s="48"/>
      <c r="N392" s="48"/>
    </row>
    <row r="393" spans="12:14" ht="15.75" x14ac:dyDescent="0.25">
      <c r="L393" s="48"/>
      <c r="M393" s="48"/>
      <c r="N393" s="48"/>
    </row>
    <row r="394" spans="12:14" ht="15.75" x14ac:dyDescent="0.25">
      <c r="L394" s="48"/>
      <c r="M394" s="48"/>
      <c r="N394" s="48"/>
    </row>
    <row r="395" spans="12:14" ht="15.75" x14ac:dyDescent="0.25">
      <c r="L395" s="48"/>
      <c r="M395" s="48"/>
      <c r="N395" s="48"/>
    </row>
    <row r="396" spans="12:14" ht="15.75" x14ac:dyDescent="0.25">
      <c r="L396" s="48"/>
      <c r="M396" s="48"/>
      <c r="N396" s="48"/>
    </row>
    <row r="397" spans="12:14" ht="15.75" x14ac:dyDescent="0.25">
      <c r="L397" s="48"/>
      <c r="M397" s="48"/>
      <c r="N397" s="48"/>
    </row>
    <row r="398" spans="12:14" ht="15.75" x14ac:dyDescent="0.25">
      <c r="L398" s="48"/>
      <c r="M398" s="48"/>
      <c r="N398" s="48"/>
    </row>
    <row r="399" spans="12:14" ht="15.75" x14ac:dyDescent="0.25">
      <c r="L399" s="48"/>
      <c r="M399" s="48"/>
      <c r="N399" s="48"/>
    </row>
    <row r="400" spans="12:14" ht="15.75" x14ac:dyDescent="0.25">
      <c r="L400" s="48"/>
      <c r="M400" s="48"/>
      <c r="N400" s="48"/>
    </row>
    <row r="401" spans="12:14" ht="15.75" x14ac:dyDescent="0.25">
      <c r="L401" s="48"/>
      <c r="M401" s="48"/>
      <c r="N401" s="48"/>
    </row>
    <row r="402" spans="12:14" ht="15.75" x14ac:dyDescent="0.25">
      <c r="L402" s="48"/>
      <c r="M402" s="48"/>
      <c r="N402" s="48"/>
    </row>
    <row r="403" spans="12:14" ht="15.75" x14ac:dyDescent="0.25">
      <c r="L403" s="48"/>
      <c r="M403" s="48"/>
      <c r="N403" s="48"/>
    </row>
    <row r="404" spans="12:14" ht="15.75" x14ac:dyDescent="0.25">
      <c r="L404" s="48"/>
      <c r="M404" s="48"/>
      <c r="N404" s="48"/>
    </row>
    <row r="405" spans="12:14" ht="15.75" x14ac:dyDescent="0.25">
      <c r="L405" s="48"/>
      <c r="M405" s="48"/>
      <c r="N405" s="48"/>
    </row>
    <row r="406" spans="12:14" ht="15.75" x14ac:dyDescent="0.25">
      <c r="L406" s="48"/>
      <c r="M406" s="48"/>
      <c r="N406" s="48"/>
    </row>
    <row r="407" spans="12:14" ht="15.75" x14ac:dyDescent="0.25">
      <c r="L407" s="48"/>
      <c r="M407" s="48"/>
      <c r="N407" s="48"/>
    </row>
    <row r="408" spans="12:14" ht="15.75" x14ac:dyDescent="0.25">
      <c r="L408" s="48"/>
      <c r="M408" s="48"/>
      <c r="N408" s="48"/>
    </row>
    <row r="409" spans="12:14" ht="15.75" x14ac:dyDescent="0.25">
      <c r="L409" s="48"/>
      <c r="M409" s="48"/>
      <c r="N409" s="48"/>
    </row>
    <row r="410" spans="12:14" ht="15.75" x14ac:dyDescent="0.25">
      <c r="L410" s="48"/>
      <c r="M410" s="48"/>
      <c r="N410" s="48"/>
    </row>
    <row r="411" spans="12:14" ht="15.75" x14ac:dyDescent="0.25">
      <c r="L411" s="48"/>
      <c r="M411" s="48"/>
      <c r="N411" s="48"/>
    </row>
    <row r="412" spans="12:14" ht="15.75" x14ac:dyDescent="0.25">
      <c r="L412" s="48"/>
      <c r="M412" s="48"/>
      <c r="N412" s="48"/>
    </row>
    <row r="413" spans="12:14" ht="15.75" x14ac:dyDescent="0.25">
      <c r="L413" s="48"/>
      <c r="M413" s="48"/>
      <c r="N413" s="48"/>
    </row>
    <row r="414" spans="12:14" ht="15.75" x14ac:dyDescent="0.25">
      <c r="L414" s="48"/>
      <c r="M414" s="48"/>
      <c r="N414" s="48"/>
    </row>
    <row r="415" spans="12:14" ht="15.75" x14ac:dyDescent="0.25">
      <c r="L415" s="48"/>
      <c r="M415" s="48"/>
      <c r="N415" s="48"/>
    </row>
    <row r="416" spans="12:14" ht="15.75" x14ac:dyDescent="0.25">
      <c r="L416" s="48"/>
      <c r="M416" s="48"/>
      <c r="N416" s="48"/>
    </row>
    <row r="417" spans="12:14" ht="15.75" x14ac:dyDescent="0.25">
      <c r="L417" s="48"/>
      <c r="M417" s="48"/>
      <c r="N417" s="48"/>
    </row>
    <row r="418" spans="12:14" ht="15.75" x14ac:dyDescent="0.25">
      <c r="L418" s="48"/>
      <c r="M418" s="48"/>
      <c r="N418" s="48"/>
    </row>
    <row r="419" spans="12:14" ht="15.75" x14ac:dyDescent="0.25">
      <c r="L419" s="48"/>
      <c r="M419" s="48"/>
      <c r="N419" s="48"/>
    </row>
    <row r="420" spans="12:14" ht="15.75" x14ac:dyDescent="0.25">
      <c r="L420" s="48"/>
      <c r="M420" s="48"/>
      <c r="N420" s="48"/>
    </row>
    <row r="421" spans="12:14" ht="15.75" x14ac:dyDescent="0.25">
      <c r="L421" s="48"/>
      <c r="M421" s="48"/>
      <c r="N421" s="48"/>
    </row>
    <row r="422" spans="12:14" ht="15.75" x14ac:dyDescent="0.25">
      <c r="L422" s="48"/>
      <c r="M422" s="48"/>
      <c r="N422" s="48"/>
    </row>
    <row r="423" spans="12:14" ht="15.75" x14ac:dyDescent="0.25">
      <c r="L423" s="48"/>
      <c r="M423" s="48"/>
      <c r="N423" s="48"/>
    </row>
    <row r="424" spans="12:14" ht="15.75" x14ac:dyDescent="0.25">
      <c r="L424" s="48"/>
      <c r="M424" s="48"/>
      <c r="N424" s="48"/>
    </row>
    <row r="425" spans="12:14" ht="15.75" x14ac:dyDescent="0.25">
      <c r="L425" s="48"/>
      <c r="M425" s="48"/>
      <c r="N425" s="48"/>
    </row>
    <row r="426" spans="12:14" ht="15.75" x14ac:dyDescent="0.25">
      <c r="L426" s="48"/>
      <c r="M426" s="48"/>
      <c r="N426" s="48"/>
    </row>
    <row r="427" spans="12:14" ht="15.75" x14ac:dyDescent="0.25">
      <c r="L427" s="48"/>
      <c r="M427" s="48"/>
      <c r="N427" s="48"/>
    </row>
    <row r="428" spans="12:14" ht="15.75" x14ac:dyDescent="0.25">
      <c r="L428" s="48"/>
      <c r="M428" s="48"/>
      <c r="N428" s="48"/>
    </row>
    <row r="429" spans="12:14" ht="15.75" x14ac:dyDescent="0.25">
      <c r="L429" s="48"/>
      <c r="M429" s="48"/>
      <c r="N429" s="48"/>
    </row>
    <row r="430" spans="12:14" ht="15.75" x14ac:dyDescent="0.25">
      <c r="L430" s="48"/>
      <c r="M430" s="48"/>
      <c r="N430" s="48"/>
    </row>
    <row r="431" spans="12:14" ht="15.75" x14ac:dyDescent="0.25">
      <c r="L431" s="48"/>
      <c r="M431" s="48"/>
      <c r="N431" s="48"/>
    </row>
    <row r="432" spans="12:14" ht="15.75" x14ac:dyDescent="0.25">
      <c r="L432" s="48"/>
      <c r="M432" s="48"/>
      <c r="N432" s="48"/>
    </row>
    <row r="433" spans="12:14" ht="15.75" x14ac:dyDescent="0.25">
      <c r="L433" s="48"/>
      <c r="M433" s="48"/>
      <c r="N433" s="48"/>
    </row>
    <row r="434" spans="12:14" ht="15.75" x14ac:dyDescent="0.25">
      <c r="L434" s="48"/>
      <c r="M434" s="48"/>
      <c r="N434" s="48"/>
    </row>
    <row r="435" spans="12:14" ht="15.75" x14ac:dyDescent="0.25">
      <c r="L435" s="48"/>
      <c r="M435" s="48"/>
      <c r="N435" s="48"/>
    </row>
    <row r="436" spans="12:14" ht="15.75" x14ac:dyDescent="0.25">
      <c r="L436" s="48"/>
      <c r="M436" s="48"/>
      <c r="N436" s="48"/>
    </row>
    <row r="437" spans="12:14" ht="15.75" x14ac:dyDescent="0.25">
      <c r="L437" s="48"/>
      <c r="M437" s="48"/>
      <c r="N437" s="48"/>
    </row>
    <row r="438" spans="12:14" ht="15.75" x14ac:dyDescent="0.25">
      <c r="L438" s="48"/>
      <c r="M438" s="48"/>
      <c r="N438" s="48"/>
    </row>
    <row r="439" spans="12:14" ht="15.75" x14ac:dyDescent="0.25">
      <c r="L439" s="48"/>
      <c r="M439" s="48"/>
      <c r="N439" s="48"/>
    </row>
    <row r="440" spans="12:14" ht="15.75" x14ac:dyDescent="0.25">
      <c r="L440" s="48"/>
      <c r="M440" s="48"/>
      <c r="N440" s="48"/>
    </row>
    <row r="441" spans="12:14" ht="15.75" x14ac:dyDescent="0.25">
      <c r="L441" s="48"/>
      <c r="M441" s="48"/>
      <c r="N441" s="48"/>
    </row>
    <row r="442" spans="12:14" ht="15.75" x14ac:dyDescent="0.25">
      <c r="L442" s="48"/>
      <c r="M442" s="48"/>
      <c r="N442" s="48"/>
    </row>
    <row r="443" spans="12:14" ht="15.75" x14ac:dyDescent="0.25">
      <c r="L443" s="48"/>
      <c r="M443" s="48"/>
      <c r="N443" s="48"/>
    </row>
    <row r="444" spans="12:14" ht="15.75" x14ac:dyDescent="0.25">
      <c r="L444" s="48"/>
      <c r="M444" s="48"/>
      <c r="N444" s="48"/>
    </row>
    <row r="445" spans="12:14" ht="15.75" x14ac:dyDescent="0.25">
      <c r="L445" s="48"/>
      <c r="M445" s="48"/>
      <c r="N445" s="48"/>
    </row>
    <row r="446" spans="12:14" ht="15.75" x14ac:dyDescent="0.25">
      <c r="L446" s="48"/>
      <c r="M446" s="48"/>
      <c r="N446" s="48"/>
    </row>
    <row r="447" spans="12:14" ht="15.75" x14ac:dyDescent="0.25">
      <c r="L447" s="48"/>
      <c r="M447" s="48"/>
      <c r="N447" s="48"/>
    </row>
    <row r="448" spans="12:14" ht="15.75" x14ac:dyDescent="0.25">
      <c r="L448" s="48"/>
      <c r="M448" s="48"/>
      <c r="N448" s="48"/>
    </row>
    <row r="449" spans="12:14" ht="15.75" x14ac:dyDescent="0.25">
      <c r="L449" s="48"/>
      <c r="M449" s="48"/>
      <c r="N449" s="48"/>
    </row>
    <row r="450" spans="12:14" ht="15.75" x14ac:dyDescent="0.25">
      <c r="L450" s="48"/>
      <c r="M450" s="48"/>
      <c r="N450" s="48"/>
    </row>
    <row r="451" spans="12:14" ht="15.75" x14ac:dyDescent="0.25">
      <c r="L451" s="48"/>
      <c r="M451" s="48"/>
      <c r="N451" s="48"/>
    </row>
    <row r="452" spans="12:14" ht="15.75" x14ac:dyDescent="0.25">
      <c r="L452" s="48"/>
      <c r="M452" s="48"/>
      <c r="N452" s="48"/>
    </row>
    <row r="453" spans="12:14" ht="15.75" x14ac:dyDescent="0.25">
      <c r="L453" s="48"/>
      <c r="M453" s="48"/>
      <c r="N453" s="48"/>
    </row>
    <row r="454" spans="12:14" ht="15.75" x14ac:dyDescent="0.25">
      <c r="L454" s="48"/>
      <c r="M454" s="48"/>
      <c r="N454" s="48"/>
    </row>
    <row r="455" spans="12:14" ht="15.75" x14ac:dyDescent="0.25">
      <c r="L455" s="48"/>
      <c r="M455" s="48"/>
      <c r="N455" s="48"/>
    </row>
    <row r="456" spans="12:14" ht="15.75" x14ac:dyDescent="0.25">
      <c r="L456" s="48"/>
      <c r="M456" s="48"/>
      <c r="N456" s="48"/>
    </row>
    <row r="457" spans="12:14" ht="15.75" x14ac:dyDescent="0.25">
      <c r="L457" s="48"/>
      <c r="M457" s="48"/>
      <c r="N457" s="48"/>
    </row>
    <row r="458" spans="12:14" ht="15.75" x14ac:dyDescent="0.25">
      <c r="L458" s="48"/>
      <c r="M458" s="48"/>
      <c r="N458" s="48"/>
    </row>
    <row r="459" spans="12:14" ht="15.75" x14ac:dyDescent="0.25">
      <c r="L459" s="48"/>
      <c r="M459" s="48"/>
      <c r="N459" s="48"/>
    </row>
    <row r="460" spans="12:14" ht="15.75" x14ac:dyDescent="0.25">
      <c r="L460" s="48"/>
      <c r="M460" s="48"/>
      <c r="N460" s="48"/>
    </row>
    <row r="461" spans="12:14" ht="15.75" x14ac:dyDescent="0.25">
      <c r="L461" s="48"/>
      <c r="M461" s="48"/>
      <c r="N461" s="48"/>
    </row>
    <row r="462" spans="12:14" ht="15.75" x14ac:dyDescent="0.25">
      <c r="L462" s="48"/>
      <c r="M462" s="48"/>
      <c r="N462" s="48"/>
    </row>
    <row r="463" spans="12:14" ht="15.75" x14ac:dyDescent="0.25">
      <c r="L463" s="48"/>
      <c r="M463" s="48"/>
      <c r="N463" s="48"/>
    </row>
    <row r="464" spans="12:14" ht="15.75" x14ac:dyDescent="0.25">
      <c r="L464" s="48"/>
      <c r="M464" s="48"/>
      <c r="N464" s="48"/>
    </row>
    <row r="465" spans="12:14" ht="15.75" x14ac:dyDescent="0.25">
      <c r="L465" s="48"/>
      <c r="M465" s="48"/>
      <c r="N465" s="48"/>
    </row>
    <row r="466" spans="12:14" ht="15.75" x14ac:dyDescent="0.25">
      <c r="L466" s="48"/>
      <c r="M466" s="48"/>
      <c r="N466" s="48"/>
    </row>
    <row r="467" spans="12:14" ht="15.75" x14ac:dyDescent="0.25">
      <c r="L467" s="48"/>
      <c r="M467" s="48"/>
      <c r="N467" s="48"/>
    </row>
    <row r="468" spans="12:14" ht="15.75" x14ac:dyDescent="0.25">
      <c r="L468" s="48"/>
      <c r="M468" s="48"/>
      <c r="N468" s="48"/>
    </row>
    <row r="469" spans="12:14" ht="15.75" x14ac:dyDescent="0.25">
      <c r="L469" s="48"/>
      <c r="M469" s="48"/>
      <c r="N469" s="48"/>
    </row>
    <row r="470" spans="12:14" ht="15.75" x14ac:dyDescent="0.25">
      <c r="L470" s="48"/>
      <c r="M470" s="48"/>
      <c r="N470" s="48"/>
    </row>
    <row r="471" spans="12:14" ht="15.75" x14ac:dyDescent="0.25">
      <c r="L471" s="48"/>
      <c r="M471" s="48"/>
      <c r="N471" s="48"/>
    </row>
    <row r="472" spans="12:14" ht="15.75" x14ac:dyDescent="0.25">
      <c r="L472" s="48"/>
      <c r="M472" s="48"/>
      <c r="N472" s="48"/>
    </row>
    <row r="473" spans="12:14" ht="15.75" x14ac:dyDescent="0.25">
      <c r="L473" s="48"/>
      <c r="M473" s="48"/>
      <c r="N473" s="48"/>
    </row>
    <row r="474" spans="12:14" ht="15.75" x14ac:dyDescent="0.25">
      <c r="L474" s="48"/>
      <c r="M474" s="48"/>
      <c r="N474" s="48"/>
    </row>
    <row r="475" spans="12:14" ht="15.75" x14ac:dyDescent="0.25">
      <c r="L475" s="48"/>
      <c r="M475" s="48"/>
      <c r="N475" s="48"/>
    </row>
    <row r="476" spans="12:14" ht="15.75" x14ac:dyDescent="0.25">
      <c r="L476" s="48"/>
      <c r="M476" s="48"/>
      <c r="N476" s="48"/>
    </row>
    <row r="477" spans="12:14" ht="15.75" x14ac:dyDescent="0.25">
      <c r="L477" s="48"/>
      <c r="M477" s="48"/>
      <c r="N477" s="48"/>
    </row>
    <row r="478" spans="12:14" ht="15.75" x14ac:dyDescent="0.25">
      <c r="L478" s="48"/>
      <c r="M478" s="48"/>
      <c r="N478" s="48"/>
    </row>
    <row r="479" spans="12:14" ht="15.75" x14ac:dyDescent="0.25">
      <c r="L479" s="48"/>
      <c r="M479" s="48"/>
      <c r="N479" s="48"/>
    </row>
    <row r="480" spans="12:14" ht="15.75" x14ac:dyDescent="0.25">
      <c r="L480" s="48"/>
      <c r="M480" s="48"/>
      <c r="N480" s="48"/>
    </row>
    <row r="481" spans="12:14" ht="15.75" x14ac:dyDescent="0.25">
      <c r="L481" s="48"/>
      <c r="M481" s="48"/>
      <c r="N481" s="48"/>
    </row>
    <row r="482" spans="12:14" ht="15.75" x14ac:dyDescent="0.25">
      <c r="L482" s="48"/>
      <c r="M482" s="48"/>
      <c r="N482" s="48"/>
    </row>
    <row r="483" spans="12:14" ht="15.75" x14ac:dyDescent="0.25">
      <c r="L483" s="48"/>
      <c r="M483" s="48"/>
      <c r="N483" s="48"/>
    </row>
    <row r="484" spans="12:14" ht="15.75" x14ac:dyDescent="0.25">
      <c r="L484" s="48"/>
      <c r="M484" s="48"/>
      <c r="N484" s="48"/>
    </row>
    <row r="485" spans="12:14" ht="15.75" x14ac:dyDescent="0.25">
      <c r="L485" s="48"/>
      <c r="M485" s="48"/>
      <c r="N485" s="48"/>
    </row>
    <row r="486" spans="12:14" ht="15.75" x14ac:dyDescent="0.25">
      <c r="L486" s="48"/>
      <c r="M486" s="48"/>
      <c r="N486" s="48"/>
    </row>
    <row r="487" spans="12:14" ht="15.75" x14ac:dyDescent="0.25">
      <c r="L487" s="48"/>
      <c r="M487" s="48"/>
      <c r="N487" s="48"/>
    </row>
    <row r="488" spans="12:14" ht="15.75" x14ac:dyDescent="0.25">
      <c r="L488" s="48"/>
      <c r="M488" s="48"/>
      <c r="N488" s="48"/>
    </row>
    <row r="489" spans="12:14" ht="15.75" x14ac:dyDescent="0.25">
      <c r="L489" s="48"/>
      <c r="M489" s="48"/>
      <c r="N489" s="48"/>
    </row>
    <row r="490" spans="12:14" ht="15.75" x14ac:dyDescent="0.25">
      <c r="L490" s="48"/>
      <c r="M490" s="48"/>
      <c r="N490" s="48"/>
    </row>
    <row r="491" spans="12:14" ht="15.75" x14ac:dyDescent="0.25">
      <c r="L491" s="48"/>
      <c r="M491" s="48"/>
      <c r="N491" s="48"/>
    </row>
    <row r="492" spans="12:14" ht="15.75" x14ac:dyDescent="0.25">
      <c r="L492" s="48"/>
      <c r="M492" s="48"/>
      <c r="N492" s="48"/>
    </row>
    <row r="493" spans="12:14" ht="15.75" x14ac:dyDescent="0.25">
      <c r="L493" s="48"/>
      <c r="M493" s="48"/>
      <c r="N493" s="48"/>
    </row>
    <row r="494" spans="12:14" ht="15.75" x14ac:dyDescent="0.25">
      <c r="L494" s="48"/>
      <c r="M494" s="48"/>
      <c r="N494" s="48"/>
    </row>
    <row r="495" spans="12:14" ht="15.75" x14ac:dyDescent="0.25">
      <c r="L495" s="48"/>
      <c r="M495" s="48"/>
      <c r="N495" s="48"/>
    </row>
    <row r="496" spans="12:14" ht="15.75" x14ac:dyDescent="0.25">
      <c r="L496" s="48"/>
      <c r="M496" s="48"/>
      <c r="N496" s="48"/>
    </row>
    <row r="497" spans="12:14" ht="15.75" x14ac:dyDescent="0.25">
      <c r="L497" s="48"/>
      <c r="M497" s="48"/>
      <c r="N497" s="48"/>
    </row>
    <row r="498" spans="12:14" ht="15.75" x14ac:dyDescent="0.25">
      <c r="L498" s="48"/>
      <c r="M498" s="48"/>
      <c r="N498" s="48"/>
    </row>
    <row r="499" spans="12:14" ht="15.75" x14ac:dyDescent="0.25">
      <c r="L499" s="48"/>
      <c r="M499" s="48"/>
      <c r="N499" s="48"/>
    </row>
    <row r="500" spans="12:14" ht="15.75" x14ac:dyDescent="0.25">
      <c r="L500" s="48"/>
      <c r="M500" s="48"/>
      <c r="N500" s="48"/>
    </row>
    <row r="501" spans="12:14" ht="15.75" x14ac:dyDescent="0.25">
      <c r="L501" s="48"/>
      <c r="M501" s="48"/>
      <c r="N501" s="48"/>
    </row>
    <row r="502" spans="12:14" ht="15.75" x14ac:dyDescent="0.25">
      <c r="L502" s="48"/>
      <c r="M502" s="48"/>
      <c r="N502" s="48"/>
    </row>
    <row r="503" spans="12:14" ht="15.75" x14ac:dyDescent="0.25">
      <c r="L503" s="48"/>
      <c r="M503" s="48"/>
      <c r="N503" s="48"/>
    </row>
    <row r="504" spans="12:14" ht="15.75" x14ac:dyDescent="0.25">
      <c r="L504" s="48"/>
      <c r="M504" s="48"/>
      <c r="N504" s="48"/>
    </row>
    <row r="505" spans="12:14" ht="15.75" x14ac:dyDescent="0.25">
      <c r="L505" s="48"/>
      <c r="M505" s="48"/>
      <c r="N505" s="48"/>
    </row>
    <row r="506" spans="12:14" ht="15.75" x14ac:dyDescent="0.25">
      <c r="L506" s="48"/>
      <c r="M506" s="48"/>
      <c r="N506" s="48"/>
    </row>
    <row r="507" spans="12:14" ht="15.75" x14ac:dyDescent="0.25">
      <c r="L507" s="48"/>
      <c r="M507" s="48"/>
      <c r="N507" s="48"/>
    </row>
    <row r="508" spans="12:14" ht="15.75" x14ac:dyDescent="0.25">
      <c r="L508" s="48"/>
      <c r="M508" s="48"/>
      <c r="N508" s="48"/>
    </row>
    <row r="509" spans="12:14" ht="15.75" x14ac:dyDescent="0.25">
      <c r="L509" s="48"/>
      <c r="M509" s="48"/>
      <c r="N509" s="48"/>
    </row>
    <row r="510" spans="12:14" ht="15.75" x14ac:dyDescent="0.25">
      <c r="L510" s="48"/>
      <c r="M510" s="48"/>
      <c r="N510" s="48"/>
    </row>
    <row r="511" spans="12:14" ht="15.75" x14ac:dyDescent="0.25">
      <c r="L511" s="48"/>
      <c r="M511" s="48"/>
      <c r="N511" s="48"/>
    </row>
    <row r="512" spans="12:14" ht="15.75" x14ac:dyDescent="0.25">
      <c r="L512" s="48"/>
      <c r="M512" s="48"/>
      <c r="N512" s="48"/>
    </row>
    <row r="513" spans="12:14" ht="15.75" x14ac:dyDescent="0.25">
      <c r="L513" s="48"/>
      <c r="M513" s="48"/>
      <c r="N513" s="48"/>
    </row>
    <row r="514" spans="12:14" ht="15.75" x14ac:dyDescent="0.25">
      <c r="L514" s="48"/>
      <c r="M514" s="48"/>
      <c r="N514" s="48"/>
    </row>
    <row r="515" spans="12:14" ht="15.75" x14ac:dyDescent="0.25">
      <c r="L515" s="48"/>
      <c r="M515" s="48"/>
      <c r="N515" s="48"/>
    </row>
    <row r="516" spans="12:14" ht="15.75" x14ac:dyDescent="0.25">
      <c r="L516" s="48"/>
      <c r="M516" s="48"/>
      <c r="N516" s="48"/>
    </row>
    <row r="517" spans="12:14" ht="15.75" x14ac:dyDescent="0.25">
      <c r="L517" s="48"/>
      <c r="M517" s="48"/>
      <c r="N517" s="48"/>
    </row>
    <row r="518" spans="12:14" ht="15.75" x14ac:dyDescent="0.25">
      <c r="L518" s="48"/>
      <c r="M518" s="48"/>
      <c r="N518" s="48"/>
    </row>
    <row r="519" spans="12:14" ht="15.75" x14ac:dyDescent="0.25">
      <c r="L519" s="48"/>
      <c r="M519" s="48"/>
      <c r="N519" s="48"/>
    </row>
    <row r="520" spans="12:14" ht="15.75" x14ac:dyDescent="0.25">
      <c r="L520" s="48"/>
      <c r="M520" s="48"/>
      <c r="N520" s="48"/>
    </row>
    <row r="521" spans="12:14" ht="15.75" x14ac:dyDescent="0.25">
      <c r="L521" s="48"/>
      <c r="M521" s="48"/>
      <c r="N521" s="48"/>
    </row>
    <row r="522" spans="12:14" ht="15.75" x14ac:dyDescent="0.25">
      <c r="L522" s="48"/>
      <c r="M522" s="48"/>
      <c r="N522" s="48"/>
    </row>
    <row r="523" spans="12:14" ht="15.75" x14ac:dyDescent="0.25">
      <c r="L523" s="48"/>
      <c r="M523" s="48"/>
      <c r="N523" s="48"/>
    </row>
    <row r="524" spans="12:14" ht="15.75" x14ac:dyDescent="0.25">
      <c r="L524" s="48"/>
      <c r="M524" s="48"/>
      <c r="N524" s="48"/>
    </row>
    <row r="525" spans="12:14" ht="15.75" x14ac:dyDescent="0.25">
      <c r="L525" s="48"/>
      <c r="M525" s="48"/>
      <c r="N525" s="48"/>
    </row>
    <row r="526" spans="12:14" ht="15.75" x14ac:dyDescent="0.25">
      <c r="L526" s="48"/>
      <c r="M526" s="48"/>
      <c r="N526" s="48"/>
    </row>
    <row r="527" spans="12:14" ht="15.75" x14ac:dyDescent="0.25">
      <c r="L527" s="48"/>
      <c r="M527" s="48"/>
      <c r="N527" s="48"/>
    </row>
    <row r="528" spans="12:14" ht="15.75" x14ac:dyDescent="0.25">
      <c r="L528" s="48"/>
      <c r="M528" s="48"/>
      <c r="N528" s="48"/>
    </row>
    <row r="529" spans="12:14" ht="15.75" x14ac:dyDescent="0.25">
      <c r="L529" s="48"/>
      <c r="M529" s="48"/>
      <c r="N529" s="48"/>
    </row>
    <row r="530" spans="12:14" ht="15.75" x14ac:dyDescent="0.25">
      <c r="L530" s="48"/>
      <c r="M530" s="48"/>
      <c r="N530" s="48"/>
    </row>
    <row r="531" spans="12:14" ht="15.75" x14ac:dyDescent="0.25">
      <c r="L531" s="48"/>
      <c r="M531" s="48"/>
      <c r="N531" s="48"/>
    </row>
    <row r="532" spans="12:14" ht="15.75" x14ac:dyDescent="0.25">
      <c r="L532" s="48"/>
      <c r="M532" s="48"/>
      <c r="N532" s="48"/>
    </row>
    <row r="533" spans="12:14" ht="15.75" x14ac:dyDescent="0.25">
      <c r="L533" s="48"/>
      <c r="M533" s="48"/>
      <c r="N533" s="48"/>
    </row>
    <row r="534" spans="12:14" ht="15.75" x14ac:dyDescent="0.25">
      <c r="L534" s="48"/>
      <c r="M534" s="48"/>
      <c r="N534" s="48"/>
    </row>
    <row r="535" spans="12:14" ht="15.75" x14ac:dyDescent="0.25">
      <c r="L535" s="48"/>
      <c r="M535" s="48"/>
      <c r="N535" s="48"/>
    </row>
    <row r="536" spans="12:14" ht="15.75" x14ac:dyDescent="0.25">
      <c r="L536" s="48"/>
      <c r="M536" s="48"/>
      <c r="N536" s="48"/>
    </row>
    <row r="537" spans="12:14" ht="15.75" x14ac:dyDescent="0.25">
      <c r="L537" s="48"/>
      <c r="M537" s="48"/>
      <c r="N537" s="48"/>
    </row>
    <row r="538" spans="12:14" ht="15.75" x14ac:dyDescent="0.25">
      <c r="L538" s="48"/>
      <c r="M538" s="48"/>
      <c r="N538" s="48"/>
    </row>
    <row r="539" spans="12:14" ht="15.75" x14ac:dyDescent="0.25">
      <c r="L539" s="48"/>
      <c r="M539" s="48"/>
      <c r="N539" s="48"/>
    </row>
    <row r="540" spans="12:14" ht="15.75" x14ac:dyDescent="0.25">
      <c r="L540" s="48"/>
      <c r="M540" s="48"/>
      <c r="N540" s="48"/>
    </row>
    <row r="541" spans="12:14" ht="15.75" x14ac:dyDescent="0.25">
      <c r="L541" s="48"/>
      <c r="M541" s="48"/>
      <c r="N541" s="48"/>
    </row>
    <row r="542" spans="12:14" ht="15.75" x14ac:dyDescent="0.25">
      <c r="L542" s="48"/>
      <c r="M542" s="48"/>
      <c r="N542" s="48"/>
    </row>
    <row r="543" spans="12:14" ht="15.75" x14ac:dyDescent="0.25">
      <c r="L543" s="48"/>
      <c r="M543" s="48"/>
      <c r="N543" s="48"/>
    </row>
    <row r="544" spans="12:14" ht="15.75" x14ac:dyDescent="0.25">
      <c r="L544" s="48"/>
      <c r="M544" s="48"/>
      <c r="N544" s="48"/>
    </row>
    <row r="545" spans="12:14" ht="15.75" x14ac:dyDescent="0.25">
      <c r="L545" s="48"/>
      <c r="M545" s="48"/>
      <c r="N545" s="48"/>
    </row>
    <row r="546" spans="12:14" ht="15.75" x14ac:dyDescent="0.25">
      <c r="L546" s="48"/>
      <c r="M546" s="48"/>
      <c r="N546" s="48"/>
    </row>
    <row r="547" spans="12:14" ht="15.75" x14ac:dyDescent="0.25">
      <c r="L547" s="48"/>
      <c r="M547" s="48"/>
      <c r="N547" s="48"/>
    </row>
    <row r="548" spans="12:14" ht="15.75" x14ac:dyDescent="0.25">
      <c r="L548" s="48"/>
      <c r="M548" s="48"/>
      <c r="N548" s="48"/>
    </row>
    <row r="549" spans="12:14" ht="15.75" x14ac:dyDescent="0.25">
      <c r="L549" s="48"/>
      <c r="M549" s="48"/>
      <c r="N549" s="48"/>
    </row>
    <row r="550" spans="12:14" ht="15.75" x14ac:dyDescent="0.25">
      <c r="L550" s="48"/>
      <c r="M550" s="48"/>
      <c r="N550" s="48"/>
    </row>
    <row r="551" spans="12:14" ht="15.75" x14ac:dyDescent="0.25">
      <c r="L551" s="48"/>
      <c r="M551" s="48"/>
      <c r="N551" s="48"/>
    </row>
    <row r="552" spans="12:14" ht="15.75" x14ac:dyDescent="0.25">
      <c r="L552" s="48"/>
      <c r="M552" s="48"/>
      <c r="N552" s="48"/>
    </row>
    <row r="553" spans="12:14" ht="15.75" x14ac:dyDescent="0.25">
      <c r="L553" s="48"/>
      <c r="M553" s="48"/>
      <c r="N553" s="48"/>
    </row>
    <row r="554" spans="12:14" ht="15.75" x14ac:dyDescent="0.25">
      <c r="L554" s="48"/>
      <c r="M554" s="48"/>
      <c r="N554" s="48"/>
    </row>
    <row r="555" spans="12:14" ht="15.75" x14ac:dyDescent="0.25">
      <c r="L555" s="48"/>
      <c r="M555" s="48"/>
      <c r="N555" s="48"/>
    </row>
    <row r="556" spans="12:14" ht="15.75" x14ac:dyDescent="0.25">
      <c r="L556" s="48"/>
      <c r="M556" s="48"/>
      <c r="N556" s="48"/>
    </row>
    <row r="557" spans="12:14" ht="15.75" x14ac:dyDescent="0.25">
      <c r="L557" s="48"/>
      <c r="M557" s="48"/>
      <c r="N557" s="48"/>
    </row>
    <row r="558" spans="12:14" ht="15.75" x14ac:dyDescent="0.25">
      <c r="L558" s="48"/>
      <c r="M558" s="48"/>
      <c r="N558" s="48"/>
    </row>
    <row r="559" spans="12:14" ht="15.75" x14ac:dyDescent="0.25">
      <c r="L559" s="48"/>
      <c r="M559" s="48"/>
      <c r="N559" s="48"/>
    </row>
    <row r="560" spans="12:14" ht="15.75" x14ac:dyDescent="0.25">
      <c r="L560" s="48"/>
      <c r="M560" s="48"/>
      <c r="N560" s="48"/>
    </row>
    <row r="561" spans="12:14" ht="15.75" x14ac:dyDescent="0.25">
      <c r="L561" s="48"/>
      <c r="M561" s="48"/>
      <c r="N561" s="48"/>
    </row>
    <row r="562" spans="12:14" ht="15.75" x14ac:dyDescent="0.25">
      <c r="L562" s="48"/>
      <c r="M562" s="48"/>
      <c r="N562" s="48"/>
    </row>
    <row r="563" spans="12:14" ht="15.75" x14ac:dyDescent="0.25">
      <c r="L563" s="48"/>
      <c r="M563" s="48"/>
      <c r="N563" s="48"/>
    </row>
    <row r="564" spans="12:14" ht="15.75" x14ac:dyDescent="0.25">
      <c r="L564" s="48"/>
      <c r="M564" s="48"/>
      <c r="N564" s="48"/>
    </row>
    <row r="565" spans="12:14" ht="15.75" x14ac:dyDescent="0.25">
      <c r="L565" s="48"/>
      <c r="M565" s="48"/>
      <c r="N565" s="48"/>
    </row>
    <row r="566" spans="12:14" ht="15.75" x14ac:dyDescent="0.25">
      <c r="L566" s="48"/>
      <c r="M566" s="48"/>
      <c r="N566" s="48"/>
    </row>
    <row r="567" spans="12:14" ht="15.75" x14ac:dyDescent="0.25">
      <c r="L567" s="48"/>
      <c r="M567" s="48"/>
      <c r="N567" s="48"/>
    </row>
    <row r="568" spans="12:14" ht="15.75" x14ac:dyDescent="0.25">
      <c r="L568" s="48"/>
      <c r="M568" s="48"/>
      <c r="N568" s="48"/>
    </row>
    <row r="569" spans="12:14" ht="15.75" x14ac:dyDescent="0.25">
      <c r="L569" s="48"/>
      <c r="M569" s="48"/>
      <c r="N569" s="48"/>
    </row>
    <row r="570" spans="12:14" ht="15.75" x14ac:dyDescent="0.25">
      <c r="L570" s="48"/>
      <c r="M570" s="48"/>
      <c r="N570" s="48"/>
    </row>
    <row r="571" spans="12:14" ht="15.75" x14ac:dyDescent="0.25">
      <c r="L571" s="48"/>
      <c r="M571" s="48"/>
      <c r="N571" s="48"/>
    </row>
    <row r="572" spans="12:14" ht="15.75" x14ac:dyDescent="0.25">
      <c r="L572" s="48"/>
      <c r="M572" s="48"/>
      <c r="N572" s="48"/>
    </row>
    <row r="573" spans="12:14" ht="15.75" x14ac:dyDescent="0.25">
      <c r="L573" s="48"/>
      <c r="M573" s="48"/>
      <c r="N573" s="48"/>
    </row>
    <row r="574" spans="12:14" ht="15.75" x14ac:dyDescent="0.25">
      <c r="L574" s="48"/>
      <c r="M574" s="48"/>
      <c r="N574" s="48"/>
    </row>
    <row r="575" spans="12:14" ht="15.75" x14ac:dyDescent="0.25">
      <c r="L575" s="48"/>
      <c r="M575" s="48"/>
      <c r="N575" s="48"/>
    </row>
    <row r="576" spans="12:14" ht="15.75" x14ac:dyDescent="0.25">
      <c r="L576" s="48"/>
      <c r="M576" s="48"/>
      <c r="N576" s="48"/>
    </row>
    <row r="577" spans="12:14" ht="15.75" x14ac:dyDescent="0.25">
      <c r="L577" s="48"/>
      <c r="M577" s="48"/>
      <c r="N577" s="48"/>
    </row>
    <row r="578" spans="12:14" ht="15.75" x14ac:dyDescent="0.25">
      <c r="L578" s="48"/>
      <c r="M578" s="48"/>
      <c r="N578" s="48"/>
    </row>
    <row r="579" spans="12:14" ht="15.75" x14ac:dyDescent="0.25">
      <c r="L579" s="48"/>
      <c r="M579" s="48"/>
      <c r="N579" s="48"/>
    </row>
    <row r="580" spans="12:14" ht="15.75" x14ac:dyDescent="0.25">
      <c r="L580" s="48"/>
      <c r="M580" s="48"/>
      <c r="N580" s="48"/>
    </row>
    <row r="581" spans="12:14" ht="15.75" x14ac:dyDescent="0.25">
      <c r="L581" s="48"/>
      <c r="M581" s="48"/>
      <c r="N581" s="48"/>
    </row>
    <row r="582" spans="12:14" ht="15.75" x14ac:dyDescent="0.25">
      <c r="L582" s="48"/>
      <c r="M582" s="48"/>
      <c r="N582" s="48"/>
    </row>
    <row r="583" spans="12:14" ht="15.75" x14ac:dyDescent="0.25">
      <c r="L583" s="48"/>
      <c r="M583" s="48"/>
      <c r="N583" s="48"/>
    </row>
    <row r="584" spans="12:14" ht="15.75" x14ac:dyDescent="0.25">
      <c r="L584" s="48"/>
      <c r="M584" s="48"/>
      <c r="N584" s="48"/>
    </row>
    <row r="585" spans="12:14" ht="15.75" x14ac:dyDescent="0.25">
      <c r="L585" s="48"/>
      <c r="M585" s="48"/>
      <c r="N585" s="48"/>
    </row>
    <row r="586" spans="12:14" ht="15.75" x14ac:dyDescent="0.25">
      <c r="L586" s="48"/>
      <c r="M586" s="48"/>
      <c r="N586" s="48"/>
    </row>
    <row r="587" spans="12:14" ht="15.75" x14ac:dyDescent="0.25">
      <c r="L587" s="48"/>
      <c r="M587" s="48"/>
      <c r="N587" s="48"/>
    </row>
    <row r="588" spans="12:14" ht="15.75" x14ac:dyDescent="0.25">
      <c r="L588" s="48"/>
      <c r="M588" s="48"/>
      <c r="N588" s="48"/>
    </row>
    <row r="589" spans="12:14" ht="15.75" x14ac:dyDescent="0.25">
      <c r="L589" s="48"/>
      <c r="M589" s="48"/>
      <c r="N589" s="48"/>
    </row>
    <row r="590" spans="12:14" ht="15.75" x14ac:dyDescent="0.25">
      <c r="L590" s="48"/>
      <c r="M590" s="48"/>
      <c r="N590" s="48"/>
    </row>
    <row r="591" spans="12:14" ht="15.75" x14ac:dyDescent="0.25">
      <c r="L591" s="48"/>
      <c r="M591" s="48"/>
      <c r="N591" s="48"/>
    </row>
    <row r="592" spans="12:14" ht="15.75" x14ac:dyDescent="0.25">
      <c r="L592" s="48"/>
      <c r="M592" s="48"/>
      <c r="N592" s="48"/>
    </row>
    <row r="593" spans="12:14" ht="15.75" x14ac:dyDescent="0.25">
      <c r="L593" s="48"/>
      <c r="M593" s="48"/>
      <c r="N593" s="48"/>
    </row>
    <row r="594" spans="12:14" ht="15.75" x14ac:dyDescent="0.25">
      <c r="L594" s="48"/>
      <c r="M594" s="48"/>
      <c r="N594" s="48"/>
    </row>
    <row r="595" spans="12:14" ht="15.75" x14ac:dyDescent="0.25">
      <c r="L595" s="48"/>
      <c r="M595" s="48"/>
      <c r="N595" s="48"/>
    </row>
    <row r="596" spans="12:14" ht="15.75" x14ac:dyDescent="0.25">
      <c r="L596" s="48"/>
      <c r="M596" s="48"/>
      <c r="N596" s="48"/>
    </row>
    <row r="597" spans="12:14" ht="15.75" x14ac:dyDescent="0.25">
      <c r="L597" s="48"/>
      <c r="M597" s="48"/>
      <c r="N597" s="48"/>
    </row>
    <row r="598" spans="12:14" ht="15.75" x14ac:dyDescent="0.25">
      <c r="L598" s="48"/>
      <c r="M598" s="48"/>
      <c r="N598" s="48"/>
    </row>
    <row r="599" spans="12:14" ht="15.75" x14ac:dyDescent="0.25">
      <c r="L599" s="48"/>
      <c r="M599" s="48"/>
      <c r="N599" s="48"/>
    </row>
    <row r="600" spans="12:14" ht="15.75" x14ac:dyDescent="0.25">
      <c r="L600" s="48"/>
      <c r="M600" s="48"/>
      <c r="N600" s="48"/>
    </row>
    <row r="601" spans="12:14" ht="15.75" x14ac:dyDescent="0.25">
      <c r="L601" s="48"/>
      <c r="M601" s="48"/>
      <c r="N601" s="48"/>
    </row>
    <row r="602" spans="12:14" ht="15.75" x14ac:dyDescent="0.25">
      <c r="L602" s="48"/>
      <c r="M602" s="48"/>
      <c r="N602" s="48"/>
    </row>
    <row r="603" spans="12:14" ht="15.75" x14ac:dyDescent="0.25">
      <c r="L603" s="48"/>
      <c r="M603" s="48"/>
      <c r="N603" s="48"/>
    </row>
    <row r="604" spans="12:14" ht="15.75" x14ac:dyDescent="0.25">
      <c r="L604" s="48"/>
      <c r="M604" s="48"/>
      <c r="N604" s="48"/>
    </row>
    <row r="605" spans="12:14" ht="15.75" x14ac:dyDescent="0.25">
      <c r="L605" s="48"/>
      <c r="M605" s="48"/>
      <c r="N605" s="48"/>
    </row>
    <row r="606" spans="12:14" ht="15.75" x14ac:dyDescent="0.25">
      <c r="L606" s="48"/>
      <c r="M606" s="48"/>
      <c r="N606" s="48"/>
    </row>
    <row r="607" spans="12:14" ht="15.75" x14ac:dyDescent="0.25">
      <c r="L607" s="48"/>
      <c r="M607" s="48"/>
      <c r="N607" s="48"/>
    </row>
    <row r="608" spans="12:14" ht="15.75" x14ac:dyDescent="0.25">
      <c r="L608" s="48"/>
      <c r="M608" s="48"/>
      <c r="N608" s="48"/>
    </row>
    <row r="609" spans="12:14" ht="15.75" x14ac:dyDescent="0.25">
      <c r="L609" s="48"/>
      <c r="M609" s="48"/>
      <c r="N609" s="48"/>
    </row>
    <row r="610" spans="12:14" ht="15.75" x14ac:dyDescent="0.25">
      <c r="L610" s="48"/>
      <c r="M610" s="48"/>
      <c r="N610" s="48"/>
    </row>
    <row r="611" spans="12:14" ht="15.75" x14ac:dyDescent="0.25">
      <c r="L611" s="48"/>
      <c r="M611" s="48"/>
      <c r="N611" s="48"/>
    </row>
    <row r="612" spans="12:14" ht="15.75" x14ac:dyDescent="0.25">
      <c r="L612" s="48"/>
      <c r="M612" s="48"/>
      <c r="N612" s="48"/>
    </row>
    <row r="613" spans="12:14" ht="15.75" x14ac:dyDescent="0.25">
      <c r="L613" s="48"/>
      <c r="M613" s="48"/>
      <c r="N613" s="48"/>
    </row>
    <row r="614" spans="12:14" ht="15.75" x14ac:dyDescent="0.25">
      <c r="L614" s="48"/>
      <c r="M614" s="48"/>
      <c r="N614" s="48"/>
    </row>
    <row r="615" spans="12:14" ht="15.75" x14ac:dyDescent="0.25">
      <c r="L615" s="48"/>
      <c r="M615" s="48"/>
      <c r="N615" s="48"/>
    </row>
    <row r="616" spans="12:14" ht="15.75" x14ac:dyDescent="0.25">
      <c r="L616" s="48"/>
      <c r="M616" s="48"/>
      <c r="N616" s="48"/>
    </row>
    <row r="617" spans="12:14" ht="15.75" x14ac:dyDescent="0.25">
      <c r="L617" s="48"/>
      <c r="M617" s="48"/>
      <c r="N617" s="48"/>
    </row>
    <row r="618" spans="12:14" ht="15.75" x14ac:dyDescent="0.25">
      <c r="L618" s="48"/>
      <c r="M618" s="48"/>
      <c r="N618" s="48"/>
    </row>
    <row r="619" spans="12:14" ht="15.75" x14ac:dyDescent="0.25">
      <c r="L619" s="48"/>
      <c r="M619" s="48"/>
      <c r="N619" s="48"/>
    </row>
    <row r="620" spans="12:14" ht="15.75" x14ac:dyDescent="0.25">
      <c r="L620" s="48"/>
      <c r="M620" s="48"/>
      <c r="N620" s="48"/>
    </row>
    <row r="621" spans="12:14" ht="15.75" x14ac:dyDescent="0.25">
      <c r="L621" s="48"/>
      <c r="M621" s="48"/>
      <c r="N621" s="48"/>
    </row>
    <row r="622" spans="12:14" ht="15.75" x14ac:dyDescent="0.25">
      <c r="L622" s="48"/>
      <c r="M622" s="48"/>
      <c r="N622" s="48"/>
    </row>
    <row r="623" spans="12:14" ht="15.75" x14ac:dyDescent="0.25">
      <c r="L623" s="48"/>
      <c r="M623" s="48"/>
      <c r="N623" s="48"/>
    </row>
    <row r="624" spans="12:14" ht="15.75" x14ac:dyDescent="0.25">
      <c r="L624" s="48"/>
      <c r="M624" s="48"/>
      <c r="N624" s="48"/>
    </row>
    <row r="625" spans="12:14" ht="15.75" x14ac:dyDescent="0.25">
      <c r="L625" s="48"/>
      <c r="M625" s="48"/>
      <c r="N625" s="48"/>
    </row>
    <row r="626" spans="12:14" ht="15.75" x14ac:dyDescent="0.25">
      <c r="L626" s="48"/>
      <c r="M626" s="48"/>
      <c r="N626" s="48"/>
    </row>
    <row r="627" spans="12:14" ht="15.75" x14ac:dyDescent="0.25">
      <c r="L627" s="48"/>
      <c r="M627" s="48"/>
      <c r="N627" s="48"/>
    </row>
    <row r="628" spans="12:14" ht="15.75" x14ac:dyDescent="0.25">
      <c r="L628" s="48"/>
      <c r="M628" s="48"/>
      <c r="N628" s="48"/>
    </row>
    <row r="629" spans="12:14" ht="15.75" x14ac:dyDescent="0.25">
      <c r="L629" s="48"/>
      <c r="M629" s="48"/>
      <c r="N629" s="48"/>
    </row>
    <row r="630" spans="12:14" ht="15.75" x14ac:dyDescent="0.25">
      <c r="L630" s="48"/>
      <c r="M630" s="48"/>
      <c r="N630" s="48"/>
    </row>
    <row r="631" spans="12:14" ht="15.75" x14ac:dyDescent="0.25">
      <c r="L631" s="48"/>
      <c r="M631" s="48"/>
      <c r="N631" s="48"/>
    </row>
    <row r="632" spans="12:14" ht="15.75" x14ac:dyDescent="0.25">
      <c r="L632" s="48"/>
      <c r="M632" s="48"/>
      <c r="N632" s="48"/>
    </row>
    <row r="633" spans="12:14" ht="15.75" x14ac:dyDescent="0.25">
      <c r="L633" s="48"/>
      <c r="M633" s="48"/>
      <c r="N633" s="48"/>
    </row>
    <row r="634" spans="12:14" ht="15.75" x14ac:dyDescent="0.25">
      <c r="L634" s="48"/>
      <c r="M634" s="48"/>
      <c r="N634" s="48"/>
    </row>
    <row r="635" spans="12:14" ht="15.75" x14ac:dyDescent="0.25">
      <c r="L635" s="48"/>
      <c r="M635" s="48"/>
      <c r="N635" s="48"/>
    </row>
    <row r="636" spans="12:14" ht="15.75" x14ac:dyDescent="0.25">
      <c r="L636" s="48"/>
      <c r="M636" s="48"/>
      <c r="N636" s="48"/>
    </row>
    <row r="637" spans="12:14" ht="15.75" x14ac:dyDescent="0.25">
      <c r="L637" s="48"/>
      <c r="M637" s="48"/>
      <c r="N637" s="48"/>
    </row>
    <row r="638" spans="12:14" ht="15.75" x14ac:dyDescent="0.25">
      <c r="L638" s="48"/>
      <c r="M638" s="48"/>
      <c r="N638" s="48"/>
    </row>
    <row r="639" spans="12:14" ht="15.75" x14ac:dyDescent="0.25">
      <c r="L639" s="48"/>
      <c r="M639" s="48"/>
      <c r="N639" s="48"/>
    </row>
    <row r="640" spans="12:14" ht="15.75" x14ac:dyDescent="0.25">
      <c r="L640" s="48"/>
      <c r="M640" s="48"/>
      <c r="N640" s="48"/>
    </row>
    <row r="641" spans="12:14" ht="15.75" x14ac:dyDescent="0.25">
      <c r="L641" s="48"/>
      <c r="M641" s="48"/>
      <c r="N641" s="48"/>
    </row>
    <row r="642" spans="12:14" ht="15.75" x14ac:dyDescent="0.25">
      <c r="L642" s="48"/>
      <c r="M642" s="48"/>
      <c r="N642" s="48"/>
    </row>
    <row r="643" spans="12:14" ht="15.75" x14ac:dyDescent="0.25">
      <c r="L643" s="48"/>
      <c r="M643" s="48"/>
      <c r="N643" s="48"/>
    </row>
    <row r="644" spans="12:14" ht="15.75" x14ac:dyDescent="0.25">
      <c r="L644" s="48"/>
      <c r="M644" s="48"/>
      <c r="N644" s="48"/>
    </row>
    <row r="645" spans="12:14" ht="15.75" x14ac:dyDescent="0.25">
      <c r="L645" s="48"/>
      <c r="M645" s="48"/>
      <c r="N645" s="48"/>
    </row>
    <row r="646" spans="12:14" ht="15.75" x14ac:dyDescent="0.25">
      <c r="L646" s="48"/>
      <c r="M646" s="48"/>
      <c r="N646" s="48"/>
    </row>
    <row r="647" spans="12:14" ht="15.75" x14ac:dyDescent="0.25">
      <c r="L647" s="48"/>
      <c r="M647" s="48"/>
      <c r="N647" s="48"/>
    </row>
    <row r="648" spans="12:14" ht="15.75" x14ac:dyDescent="0.25">
      <c r="L648" s="48"/>
      <c r="M648" s="48"/>
      <c r="N648" s="48"/>
    </row>
    <row r="649" spans="12:14" ht="15.75" x14ac:dyDescent="0.25">
      <c r="L649" s="48"/>
      <c r="M649" s="48"/>
      <c r="N649" s="48"/>
    </row>
    <row r="650" spans="12:14" ht="15.75" x14ac:dyDescent="0.25">
      <c r="L650" s="48"/>
      <c r="M650" s="48"/>
      <c r="N650" s="48"/>
    </row>
    <row r="651" spans="12:14" ht="15.75" x14ac:dyDescent="0.25">
      <c r="L651" s="48"/>
      <c r="M651" s="48"/>
      <c r="N651" s="48"/>
    </row>
    <row r="652" spans="12:14" ht="15.75" x14ac:dyDescent="0.25">
      <c r="L652" s="48"/>
      <c r="M652" s="48"/>
      <c r="N652" s="48"/>
    </row>
    <row r="653" spans="12:14" ht="15.75" x14ac:dyDescent="0.25">
      <c r="L653" s="48"/>
      <c r="M653" s="48"/>
      <c r="N653" s="48"/>
    </row>
    <row r="654" spans="12:14" ht="15.75" x14ac:dyDescent="0.25">
      <c r="L654" s="48"/>
      <c r="M654" s="48"/>
      <c r="N654" s="48"/>
    </row>
    <row r="655" spans="12:14" ht="15.75" x14ac:dyDescent="0.25">
      <c r="L655" s="48"/>
      <c r="M655" s="48"/>
      <c r="N655" s="48"/>
    </row>
    <row r="656" spans="12:14" ht="15.75" x14ac:dyDescent="0.25">
      <c r="L656" s="48"/>
      <c r="M656" s="48"/>
      <c r="N656" s="48"/>
    </row>
    <row r="657" spans="12:14" ht="15.75" x14ac:dyDescent="0.25">
      <c r="L657" s="48"/>
      <c r="M657" s="48"/>
      <c r="N657" s="48"/>
    </row>
    <row r="658" spans="12:14" ht="15.75" x14ac:dyDescent="0.25">
      <c r="L658" s="48"/>
      <c r="M658" s="48"/>
      <c r="N658" s="48"/>
    </row>
    <row r="659" spans="12:14" ht="15.75" x14ac:dyDescent="0.25">
      <c r="L659" s="48"/>
      <c r="M659" s="48"/>
      <c r="N659" s="48"/>
    </row>
    <row r="660" spans="12:14" ht="15.75" x14ac:dyDescent="0.25">
      <c r="L660" s="48"/>
      <c r="M660" s="48"/>
      <c r="N660" s="48"/>
    </row>
    <row r="661" spans="12:14" ht="15.75" x14ac:dyDescent="0.25">
      <c r="L661" s="48"/>
      <c r="M661" s="48"/>
      <c r="N661" s="48"/>
    </row>
    <row r="662" spans="12:14" ht="15.75" x14ac:dyDescent="0.25">
      <c r="L662" s="48"/>
      <c r="M662" s="48"/>
      <c r="N662" s="48"/>
    </row>
    <row r="663" spans="12:14" ht="15.75" x14ac:dyDescent="0.25">
      <c r="L663" s="48"/>
      <c r="M663" s="48"/>
      <c r="N663" s="48"/>
    </row>
    <row r="664" spans="12:14" ht="15.75" x14ac:dyDescent="0.25">
      <c r="L664" s="48"/>
      <c r="M664" s="48"/>
      <c r="N664" s="48"/>
    </row>
    <row r="665" spans="12:14" ht="15.75" x14ac:dyDescent="0.25">
      <c r="L665" s="48"/>
      <c r="M665" s="48"/>
      <c r="N665" s="48"/>
    </row>
    <row r="666" spans="12:14" ht="15.75" x14ac:dyDescent="0.25">
      <c r="L666" s="48"/>
      <c r="M666" s="48"/>
      <c r="N666" s="48"/>
    </row>
    <row r="667" spans="12:14" ht="15.75" x14ac:dyDescent="0.25">
      <c r="L667" s="48"/>
      <c r="M667" s="48"/>
      <c r="N667" s="48"/>
    </row>
    <row r="668" spans="12:14" ht="15.75" x14ac:dyDescent="0.25">
      <c r="L668" s="48"/>
      <c r="M668" s="48"/>
      <c r="N668" s="48"/>
    </row>
    <row r="669" spans="12:14" ht="15.75" x14ac:dyDescent="0.25">
      <c r="L669" s="48"/>
      <c r="M669" s="48"/>
      <c r="N669" s="48"/>
    </row>
    <row r="670" spans="12:14" ht="15.75" x14ac:dyDescent="0.25">
      <c r="L670" s="48"/>
      <c r="M670" s="48"/>
      <c r="N670" s="48"/>
    </row>
    <row r="671" spans="12:14" ht="15.75" x14ac:dyDescent="0.25">
      <c r="L671" s="48"/>
      <c r="M671" s="48"/>
      <c r="N671" s="48"/>
    </row>
    <row r="672" spans="12:14" ht="15.75" x14ac:dyDescent="0.25">
      <c r="L672" s="48"/>
      <c r="M672" s="48"/>
      <c r="N672" s="48"/>
    </row>
    <row r="673" spans="12:14" ht="15.75" x14ac:dyDescent="0.25">
      <c r="L673" s="48"/>
      <c r="M673" s="48"/>
      <c r="N673" s="48"/>
    </row>
    <row r="674" spans="12:14" ht="15.75" x14ac:dyDescent="0.25">
      <c r="L674" s="48"/>
      <c r="M674" s="48"/>
      <c r="N674" s="48"/>
    </row>
    <row r="675" spans="12:14" ht="15.75" x14ac:dyDescent="0.25">
      <c r="L675" s="48"/>
      <c r="M675" s="48"/>
      <c r="N675" s="48"/>
    </row>
    <row r="676" spans="12:14" ht="15.75" x14ac:dyDescent="0.25">
      <c r="L676" s="48"/>
      <c r="M676" s="48"/>
      <c r="N676" s="48"/>
    </row>
    <row r="677" spans="12:14" ht="15.75" x14ac:dyDescent="0.25">
      <c r="L677" s="48"/>
      <c r="M677" s="48"/>
      <c r="N677" s="48"/>
    </row>
    <row r="678" spans="12:14" ht="15.75" x14ac:dyDescent="0.25">
      <c r="L678" s="48"/>
      <c r="M678" s="48"/>
      <c r="N678" s="48"/>
    </row>
    <row r="679" spans="12:14" ht="15.75" x14ac:dyDescent="0.25">
      <c r="L679" s="48"/>
      <c r="M679" s="48"/>
      <c r="N679" s="48"/>
    </row>
    <row r="680" spans="12:14" ht="15.75" x14ac:dyDescent="0.25">
      <c r="L680" s="48"/>
      <c r="M680" s="48"/>
      <c r="N680" s="48"/>
    </row>
    <row r="681" spans="12:14" ht="15.75" x14ac:dyDescent="0.25">
      <c r="L681" s="48"/>
      <c r="M681" s="48"/>
      <c r="N681" s="48"/>
    </row>
    <row r="682" spans="12:14" ht="15.75" x14ac:dyDescent="0.25">
      <c r="L682" s="48"/>
      <c r="M682" s="48"/>
      <c r="N682" s="48"/>
    </row>
    <row r="683" spans="12:14" ht="15.75" x14ac:dyDescent="0.25">
      <c r="L683" s="48"/>
      <c r="M683" s="48"/>
      <c r="N683" s="48"/>
    </row>
    <row r="684" spans="12:14" ht="15.75" x14ac:dyDescent="0.25">
      <c r="L684" s="48"/>
      <c r="M684" s="48"/>
      <c r="N684" s="48"/>
    </row>
    <row r="685" spans="12:14" ht="15.75" x14ac:dyDescent="0.25">
      <c r="L685" s="48"/>
      <c r="M685" s="48"/>
      <c r="N685" s="48"/>
    </row>
    <row r="686" spans="12:14" ht="15.75" x14ac:dyDescent="0.25">
      <c r="L686" s="48"/>
      <c r="M686" s="48"/>
      <c r="N686" s="48"/>
    </row>
    <row r="687" spans="12:14" ht="15.75" x14ac:dyDescent="0.25">
      <c r="L687" s="48"/>
      <c r="M687" s="48"/>
      <c r="N687" s="48"/>
    </row>
    <row r="688" spans="12:14" ht="15.75" x14ac:dyDescent="0.25">
      <c r="L688" s="48"/>
      <c r="M688" s="48"/>
      <c r="N688" s="48"/>
    </row>
    <row r="689" spans="12:14" ht="15.75" x14ac:dyDescent="0.25">
      <c r="L689" s="48"/>
      <c r="M689" s="48"/>
      <c r="N689" s="48"/>
    </row>
    <row r="690" spans="12:14" ht="15.75" x14ac:dyDescent="0.25">
      <c r="L690" s="48"/>
      <c r="M690" s="48"/>
      <c r="N690" s="48"/>
    </row>
    <row r="691" spans="12:14" ht="15.75" x14ac:dyDescent="0.25">
      <c r="L691" s="48"/>
      <c r="M691" s="48"/>
      <c r="N691" s="48"/>
    </row>
    <row r="692" spans="12:14" ht="15.75" x14ac:dyDescent="0.25">
      <c r="L692" s="48"/>
      <c r="M692" s="48"/>
      <c r="N692" s="48"/>
    </row>
    <row r="693" spans="12:14" ht="15.75" x14ac:dyDescent="0.25">
      <c r="L693" s="48"/>
      <c r="M693" s="48"/>
      <c r="N693" s="48"/>
    </row>
    <row r="694" spans="12:14" ht="15.75" x14ac:dyDescent="0.25">
      <c r="L694" s="48"/>
      <c r="M694" s="48"/>
      <c r="N694" s="48"/>
    </row>
    <row r="695" spans="12:14" ht="15.75" x14ac:dyDescent="0.25">
      <c r="L695" s="48"/>
      <c r="M695" s="48"/>
      <c r="N695" s="48"/>
    </row>
    <row r="696" spans="12:14" ht="15.75" x14ac:dyDescent="0.25">
      <c r="L696" s="48"/>
      <c r="M696" s="48"/>
      <c r="N696" s="48"/>
    </row>
    <row r="697" spans="12:14" ht="15.75" x14ac:dyDescent="0.25">
      <c r="L697" s="48"/>
      <c r="M697" s="48"/>
      <c r="N697" s="48"/>
    </row>
    <row r="698" spans="12:14" ht="15.75" x14ac:dyDescent="0.25">
      <c r="L698" s="48"/>
      <c r="M698" s="48"/>
      <c r="N698" s="48"/>
    </row>
    <row r="699" spans="12:14" ht="15.75" x14ac:dyDescent="0.25">
      <c r="L699" s="48"/>
      <c r="M699" s="48"/>
      <c r="N699" s="48"/>
    </row>
    <row r="700" spans="12:14" ht="15.75" x14ac:dyDescent="0.25">
      <c r="L700" s="48"/>
      <c r="M700" s="48"/>
      <c r="N700" s="48"/>
    </row>
    <row r="701" spans="12:14" ht="15.75" x14ac:dyDescent="0.25">
      <c r="L701" s="48"/>
      <c r="M701" s="48"/>
      <c r="N701" s="48"/>
    </row>
    <row r="702" spans="12:14" ht="15.75" x14ac:dyDescent="0.25">
      <c r="L702" s="48"/>
      <c r="M702" s="48"/>
      <c r="N702" s="48"/>
    </row>
    <row r="703" spans="12:14" ht="15.75" x14ac:dyDescent="0.25">
      <c r="L703" s="48"/>
      <c r="M703" s="48"/>
      <c r="N703" s="48"/>
    </row>
    <row r="704" spans="12:14" ht="15.75" x14ac:dyDescent="0.25">
      <c r="L704" s="48"/>
      <c r="M704" s="48"/>
      <c r="N704" s="48"/>
    </row>
    <row r="705" spans="12:14" ht="15.75" x14ac:dyDescent="0.25">
      <c r="L705" s="48"/>
      <c r="M705" s="48"/>
      <c r="N705" s="48"/>
    </row>
    <row r="706" spans="12:14" ht="15.75" x14ac:dyDescent="0.25">
      <c r="L706" s="48"/>
      <c r="M706" s="48"/>
      <c r="N706" s="48"/>
    </row>
    <row r="707" spans="12:14" ht="15.75" x14ac:dyDescent="0.25">
      <c r="L707" s="48"/>
      <c r="M707" s="48"/>
      <c r="N707" s="48"/>
    </row>
    <row r="708" spans="12:14" ht="15.75" x14ac:dyDescent="0.25">
      <c r="L708" s="48"/>
      <c r="M708" s="48"/>
      <c r="N708" s="48"/>
    </row>
    <row r="709" spans="12:14" ht="15.75" x14ac:dyDescent="0.25">
      <c r="L709" s="48"/>
      <c r="M709" s="48"/>
      <c r="N709" s="48"/>
    </row>
    <row r="710" spans="12:14" ht="15.75" x14ac:dyDescent="0.25">
      <c r="L710" s="48"/>
      <c r="M710" s="48"/>
      <c r="N710" s="48"/>
    </row>
    <row r="711" spans="12:14" ht="15.75" x14ac:dyDescent="0.25">
      <c r="L711" s="48"/>
      <c r="M711" s="48"/>
      <c r="N711" s="48"/>
    </row>
    <row r="712" spans="12:14" ht="15.75" x14ac:dyDescent="0.25">
      <c r="L712" s="48"/>
      <c r="M712" s="48"/>
      <c r="N712" s="48"/>
    </row>
    <row r="713" spans="12:14" ht="15.75" x14ac:dyDescent="0.25">
      <c r="L713" s="48"/>
      <c r="M713" s="48"/>
      <c r="N713" s="48"/>
    </row>
    <row r="714" spans="12:14" ht="15.75" x14ac:dyDescent="0.25">
      <c r="L714" s="48"/>
      <c r="M714" s="48"/>
      <c r="N714" s="48"/>
    </row>
    <row r="715" spans="12:14" ht="15.75" x14ac:dyDescent="0.25">
      <c r="L715" s="48"/>
      <c r="M715" s="48"/>
      <c r="N715" s="48"/>
    </row>
    <row r="716" spans="12:14" ht="15.75" x14ac:dyDescent="0.25">
      <c r="L716" s="48"/>
      <c r="M716" s="48"/>
      <c r="N716" s="48"/>
    </row>
    <row r="717" spans="12:14" ht="15.75" x14ac:dyDescent="0.25">
      <c r="L717" s="48"/>
      <c r="M717" s="48"/>
      <c r="N717" s="48"/>
    </row>
    <row r="718" spans="12:14" ht="15.75" x14ac:dyDescent="0.25">
      <c r="L718" s="48"/>
      <c r="M718" s="48"/>
      <c r="N718" s="48"/>
    </row>
    <row r="719" spans="12:14" ht="15.75" x14ac:dyDescent="0.25">
      <c r="L719" s="48"/>
      <c r="M719" s="48"/>
      <c r="N719" s="48"/>
    </row>
    <row r="720" spans="12:14" ht="15.75" x14ac:dyDescent="0.25">
      <c r="L720" s="48"/>
      <c r="M720" s="48"/>
      <c r="N720" s="48"/>
    </row>
    <row r="721" spans="12:14" ht="15.75" x14ac:dyDescent="0.25">
      <c r="L721" s="48"/>
      <c r="M721" s="48"/>
      <c r="N721" s="48"/>
    </row>
    <row r="722" spans="12:14" ht="15.75" x14ac:dyDescent="0.25">
      <c r="L722" s="48"/>
      <c r="M722" s="48"/>
      <c r="N722" s="48"/>
    </row>
    <row r="723" spans="12:14" ht="15.75" x14ac:dyDescent="0.25">
      <c r="L723" s="48"/>
      <c r="M723" s="48"/>
      <c r="N723" s="48"/>
    </row>
    <row r="724" spans="12:14" ht="15.75" x14ac:dyDescent="0.25">
      <c r="L724" s="48"/>
      <c r="M724" s="48"/>
      <c r="N724" s="48"/>
    </row>
    <row r="725" spans="12:14" ht="15.75" x14ac:dyDescent="0.25">
      <c r="L725" s="48"/>
      <c r="M725" s="48"/>
      <c r="N725" s="48"/>
    </row>
    <row r="726" spans="12:14" ht="15.75" x14ac:dyDescent="0.25">
      <c r="L726" s="48"/>
      <c r="M726" s="48"/>
      <c r="N726" s="48"/>
    </row>
    <row r="727" spans="12:14" ht="15.75" x14ac:dyDescent="0.25">
      <c r="L727" s="48"/>
      <c r="M727" s="48"/>
      <c r="N727" s="48"/>
    </row>
    <row r="728" spans="12:14" ht="15.75" x14ac:dyDescent="0.25">
      <c r="L728" s="48"/>
      <c r="M728" s="48"/>
      <c r="N728" s="48"/>
    </row>
    <row r="729" spans="12:14" ht="15.75" x14ac:dyDescent="0.25">
      <c r="L729" s="48"/>
      <c r="M729" s="48"/>
      <c r="N729" s="48"/>
    </row>
    <row r="730" spans="12:14" ht="15.75" x14ac:dyDescent="0.25">
      <c r="L730" s="48"/>
      <c r="M730" s="48"/>
      <c r="N730" s="48"/>
    </row>
    <row r="731" spans="12:14" ht="15.75" x14ac:dyDescent="0.25">
      <c r="L731" s="48"/>
      <c r="M731" s="48"/>
      <c r="N731" s="48"/>
    </row>
    <row r="732" spans="12:14" ht="15.75" x14ac:dyDescent="0.25">
      <c r="L732" s="48"/>
      <c r="M732" s="48"/>
      <c r="N732" s="48"/>
    </row>
    <row r="733" spans="12:14" ht="15.75" x14ac:dyDescent="0.25">
      <c r="L733" s="48"/>
      <c r="M733" s="48"/>
      <c r="N733" s="48"/>
    </row>
    <row r="734" spans="12:14" ht="15.75" x14ac:dyDescent="0.25">
      <c r="L734" s="48"/>
      <c r="M734" s="48"/>
      <c r="N734" s="48"/>
    </row>
    <row r="735" spans="12:14" ht="15.75" x14ac:dyDescent="0.25">
      <c r="L735" s="48"/>
      <c r="M735" s="48"/>
      <c r="N735" s="48"/>
    </row>
    <row r="736" spans="12:14" ht="15.75" x14ac:dyDescent="0.25">
      <c r="L736" s="48"/>
      <c r="M736" s="48"/>
      <c r="N736" s="48"/>
    </row>
    <row r="737" spans="12:14" ht="15.75" x14ac:dyDescent="0.25">
      <c r="L737" s="48"/>
      <c r="M737" s="48"/>
      <c r="N737" s="48"/>
    </row>
    <row r="738" spans="12:14" ht="15.75" x14ac:dyDescent="0.25">
      <c r="L738" s="48"/>
      <c r="M738" s="48"/>
      <c r="N738" s="48"/>
    </row>
    <row r="739" spans="12:14" ht="15.75" x14ac:dyDescent="0.25">
      <c r="L739" s="48"/>
      <c r="M739" s="48"/>
      <c r="N739" s="48"/>
    </row>
    <row r="740" spans="12:14" ht="15.75" x14ac:dyDescent="0.25">
      <c r="L740" s="48"/>
      <c r="M740" s="48"/>
      <c r="N740" s="48"/>
    </row>
    <row r="741" spans="12:14" ht="15.75" x14ac:dyDescent="0.25">
      <c r="L741" s="48"/>
      <c r="M741" s="48"/>
      <c r="N741" s="48"/>
    </row>
    <row r="742" spans="12:14" ht="15.75" x14ac:dyDescent="0.25">
      <c r="L742" s="48"/>
      <c r="M742" s="48"/>
      <c r="N742" s="48"/>
    </row>
    <row r="743" spans="12:14" ht="15.75" x14ac:dyDescent="0.25">
      <c r="L743" s="48"/>
      <c r="M743" s="48"/>
      <c r="N743" s="48"/>
    </row>
    <row r="744" spans="12:14" ht="15.75" x14ac:dyDescent="0.25">
      <c r="L744" s="48"/>
      <c r="M744" s="48"/>
      <c r="N744" s="48"/>
    </row>
    <row r="745" spans="12:14" ht="15.75" x14ac:dyDescent="0.25">
      <c r="L745" s="48"/>
      <c r="M745" s="48"/>
      <c r="N745" s="48"/>
    </row>
    <row r="746" spans="12:14" ht="15.75" x14ac:dyDescent="0.25">
      <c r="L746" s="48"/>
      <c r="M746" s="48"/>
      <c r="N746" s="48"/>
    </row>
    <row r="747" spans="12:14" ht="15.75" x14ac:dyDescent="0.25">
      <c r="L747" s="48"/>
      <c r="M747" s="48"/>
      <c r="N747" s="48"/>
    </row>
    <row r="748" spans="12:14" ht="15.75" x14ac:dyDescent="0.25">
      <c r="L748" s="48"/>
      <c r="M748" s="48"/>
      <c r="N748" s="48"/>
    </row>
    <row r="749" spans="12:14" ht="15.75" x14ac:dyDescent="0.25">
      <c r="L749" s="48"/>
      <c r="M749" s="48"/>
      <c r="N749" s="48"/>
    </row>
    <row r="750" spans="12:14" ht="15.75" x14ac:dyDescent="0.25">
      <c r="L750" s="48"/>
      <c r="M750" s="48"/>
      <c r="N750" s="48"/>
    </row>
    <row r="751" spans="12:14" ht="15.75" x14ac:dyDescent="0.25">
      <c r="L751" s="48"/>
      <c r="M751" s="48"/>
      <c r="N751" s="48"/>
    </row>
    <row r="752" spans="12:14" ht="15.75" x14ac:dyDescent="0.25">
      <c r="L752" s="48"/>
      <c r="M752" s="48"/>
      <c r="N752" s="48"/>
    </row>
    <row r="753" spans="12:14" ht="15.75" x14ac:dyDescent="0.25">
      <c r="L753" s="48"/>
      <c r="M753" s="48"/>
      <c r="N753" s="48"/>
    </row>
    <row r="754" spans="12:14" ht="15.75" x14ac:dyDescent="0.25">
      <c r="L754" s="48"/>
      <c r="M754" s="48"/>
      <c r="N754" s="48"/>
    </row>
    <row r="755" spans="12:14" ht="15.75" x14ac:dyDescent="0.25">
      <c r="L755" s="48"/>
      <c r="M755" s="48"/>
      <c r="N755" s="48"/>
    </row>
    <row r="756" spans="12:14" ht="15.75" x14ac:dyDescent="0.25">
      <c r="L756" s="48"/>
      <c r="M756" s="48"/>
      <c r="N756" s="48"/>
    </row>
    <row r="757" spans="12:14" ht="15.75" x14ac:dyDescent="0.25">
      <c r="L757" s="48"/>
      <c r="M757" s="48"/>
      <c r="N757" s="48"/>
    </row>
    <row r="758" spans="12:14" ht="15.75" x14ac:dyDescent="0.25">
      <c r="L758" s="48"/>
      <c r="M758" s="48"/>
      <c r="N758" s="48"/>
    </row>
    <row r="759" spans="12:14" ht="15.75" x14ac:dyDescent="0.25">
      <c r="L759" s="48"/>
      <c r="M759" s="48"/>
      <c r="N759" s="48"/>
    </row>
    <row r="760" spans="12:14" ht="15.75" x14ac:dyDescent="0.25">
      <c r="L760" s="48"/>
      <c r="M760" s="48"/>
      <c r="N760" s="48"/>
    </row>
    <row r="761" spans="12:14" ht="15.75" x14ac:dyDescent="0.25">
      <c r="L761" s="48"/>
      <c r="M761" s="48"/>
      <c r="N761" s="48"/>
    </row>
    <row r="762" spans="12:14" ht="15.75" x14ac:dyDescent="0.25">
      <c r="L762" s="48"/>
      <c r="M762" s="48"/>
      <c r="N762" s="48"/>
    </row>
    <row r="763" spans="12:14" ht="15.75" x14ac:dyDescent="0.25">
      <c r="L763" s="48"/>
      <c r="M763" s="48"/>
      <c r="N763" s="48"/>
    </row>
    <row r="764" spans="12:14" ht="15.75" x14ac:dyDescent="0.25">
      <c r="L764" s="48"/>
      <c r="M764" s="48"/>
      <c r="N764" s="48"/>
    </row>
    <row r="765" spans="12:14" ht="15.75" x14ac:dyDescent="0.25">
      <c r="L765" s="48"/>
      <c r="M765" s="48"/>
      <c r="N765" s="48"/>
    </row>
    <row r="766" spans="12:14" ht="15.75" x14ac:dyDescent="0.25">
      <c r="L766" s="48"/>
      <c r="M766" s="48"/>
      <c r="N766" s="48"/>
    </row>
    <row r="767" spans="12:14" ht="15.75" x14ac:dyDescent="0.25">
      <c r="L767" s="48"/>
      <c r="M767" s="48"/>
      <c r="N767" s="48"/>
    </row>
    <row r="768" spans="12:14" ht="15.75" x14ac:dyDescent="0.25">
      <c r="L768" s="48"/>
      <c r="M768" s="48"/>
      <c r="N768" s="48"/>
    </row>
    <row r="769" spans="12:14" ht="15.75" x14ac:dyDescent="0.25">
      <c r="L769" s="48"/>
      <c r="M769" s="48"/>
      <c r="N769" s="48"/>
    </row>
    <row r="770" spans="12:14" ht="15.75" x14ac:dyDescent="0.25">
      <c r="L770" s="48"/>
      <c r="M770" s="48"/>
      <c r="N770" s="48"/>
    </row>
    <row r="771" spans="12:14" ht="15.75" x14ac:dyDescent="0.25">
      <c r="L771" s="48"/>
      <c r="M771" s="48"/>
      <c r="N771" s="48"/>
    </row>
    <row r="772" spans="12:14" ht="15.75" x14ac:dyDescent="0.25">
      <c r="L772" s="48"/>
      <c r="M772" s="48"/>
      <c r="N772" s="48"/>
    </row>
    <row r="773" spans="12:14" ht="15.75" x14ac:dyDescent="0.25">
      <c r="L773" s="48"/>
      <c r="M773" s="48"/>
      <c r="N773" s="48"/>
    </row>
    <row r="774" spans="12:14" ht="15.75" x14ac:dyDescent="0.25">
      <c r="L774" s="48"/>
      <c r="M774" s="48"/>
      <c r="N774" s="48"/>
    </row>
    <row r="775" spans="12:14" ht="15.75" x14ac:dyDescent="0.25">
      <c r="L775" s="48"/>
      <c r="M775" s="48"/>
      <c r="N775" s="48"/>
    </row>
    <row r="776" spans="12:14" ht="15.75" x14ac:dyDescent="0.25">
      <c r="L776" s="48"/>
      <c r="M776" s="48"/>
      <c r="N776" s="48"/>
    </row>
    <row r="777" spans="12:14" ht="15.75" x14ac:dyDescent="0.25">
      <c r="L777" s="48"/>
      <c r="M777" s="48"/>
      <c r="N777" s="48"/>
    </row>
    <row r="778" spans="12:14" ht="15.75" x14ac:dyDescent="0.25">
      <c r="L778" s="48"/>
      <c r="M778" s="48"/>
      <c r="N778" s="48"/>
    </row>
    <row r="779" spans="12:14" ht="15.75" x14ac:dyDescent="0.25">
      <c r="L779" s="48"/>
      <c r="M779" s="48"/>
      <c r="N779" s="48"/>
    </row>
    <row r="780" spans="12:14" ht="15.75" x14ac:dyDescent="0.25">
      <c r="L780" s="48"/>
      <c r="M780" s="48"/>
      <c r="N780" s="48"/>
    </row>
    <row r="781" spans="12:14" ht="15.75" x14ac:dyDescent="0.25">
      <c r="L781" s="48"/>
      <c r="M781" s="48"/>
      <c r="N781" s="48"/>
    </row>
    <row r="782" spans="12:14" ht="15.75" x14ac:dyDescent="0.25">
      <c r="L782" s="48"/>
      <c r="M782" s="48"/>
      <c r="N782" s="48"/>
    </row>
    <row r="783" spans="12:14" ht="15.75" x14ac:dyDescent="0.25">
      <c r="L783" s="48"/>
      <c r="M783" s="48"/>
      <c r="N783" s="48"/>
    </row>
    <row r="784" spans="12:14" ht="15.75" x14ac:dyDescent="0.25">
      <c r="L784" s="48"/>
      <c r="M784" s="48"/>
      <c r="N784" s="48"/>
    </row>
    <row r="785" spans="12:14" ht="15.75" x14ac:dyDescent="0.25">
      <c r="L785" s="48"/>
      <c r="M785" s="48"/>
      <c r="N785" s="48"/>
    </row>
    <row r="786" spans="12:14" ht="15.75" x14ac:dyDescent="0.25">
      <c r="L786" s="48"/>
      <c r="M786" s="48"/>
      <c r="N786" s="48"/>
    </row>
    <row r="787" spans="12:14" ht="15.75" x14ac:dyDescent="0.25">
      <c r="L787" s="48"/>
      <c r="M787" s="48"/>
      <c r="N787" s="48"/>
    </row>
    <row r="788" spans="12:14" ht="15.75" x14ac:dyDescent="0.25">
      <c r="L788" s="48"/>
      <c r="M788" s="48"/>
      <c r="N788" s="48"/>
    </row>
    <row r="789" spans="12:14" ht="15.75" x14ac:dyDescent="0.25">
      <c r="L789" s="48"/>
      <c r="M789" s="48"/>
      <c r="N789" s="48"/>
    </row>
    <row r="790" spans="12:14" ht="15.75" x14ac:dyDescent="0.25">
      <c r="L790" s="48"/>
      <c r="M790" s="48"/>
      <c r="N790" s="48"/>
    </row>
    <row r="791" spans="12:14" ht="15.75" x14ac:dyDescent="0.25">
      <c r="L791" s="48"/>
      <c r="M791" s="48"/>
      <c r="N791" s="48"/>
    </row>
    <row r="792" spans="12:14" ht="15.75" x14ac:dyDescent="0.25">
      <c r="L792" s="48"/>
      <c r="M792" s="48"/>
      <c r="N792" s="48"/>
    </row>
    <row r="793" spans="12:14" ht="15.75" x14ac:dyDescent="0.25">
      <c r="L793" s="48"/>
      <c r="M793" s="48"/>
      <c r="N793" s="48"/>
    </row>
    <row r="794" spans="12:14" ht="15.75" x14ac:dyDescent="0.25">
      <c r="L794" s="48"/>
      <c r="M794" s="48"/>
      <c r="N794" s="48"/>
    </row>
    <row r="795" spans="12:14" ht="15.75" x14ac:dyDescent="0.25">
      <c r="L795" s="48"/>
      <c r="M795" s="48"/>
      <c r="N795" s="48"/>
    </row>
    <row r="796" spans="12:14" ht="15.75" x14ac:dyDescent="0.25">
      <c r="L796" s="48"/>
      <c r="M796" s="48"/>
      <c r="N796" s="48"/>
    </row>
    <row r="797" spans="12:14" ht="15.75" x14ac:dyDescent="0.25">
      <c r="L797" s="48"/>
      <c r="M797" s="48"/>
      <c r="N797" s="48"/>
    </row>
    <row r="798" spans="12:14" ht="15.75" x14ac:dyDescent="0.25">
      <c r="L798" s="48"/>
      <c r="M798" s="48"/>
      <c r="N798" s="48"/>
    </row>
    <row r="799" spans="12:14" ht="15.75" x14ac:dyDescent="0.25">
      <c r="L799" s="48"/>
      <c r="M799" s="48"/>
      <c r="N799" s="48"/>
    </row>
    <row r="800" spans="12:14" ht="15.75" x14ac:dyDescent="0.25">
      <c r="L800" s="48"/>
      <c r="M800" s="48"/>
      <c r="N800" s="48"/>
    </row>
    <row r="801" spans="12:14" ht="15.75" x14ac:dyDescent="0.25">
      <c r="L801" s="48"/>
      <c r="M801" s="48"/>
      <c r="N801" s="48"/>
    </row>
    <row r="802" spans="12:14" ht="15.75" x14ac:dyDescent="0.25">
      <c r="L802" s="48"/>
      <c r="M802" s="48"/>
      <c r="N802" s="48"/>
    </row>
    <row r="803" spans="12:14" ht="15.75" x14ac:dyDescent="0.25">
      <c r="L803" s="48"/>
      <c r="M803" s="48"/>
      <c r="N803" s="48"/>
    </row>
    <row r="804" spans="12:14" ht="15.75" x14ac:dyDescent="0.25">
      <c r="L804" s="48"/>
      <c r="M804" s="48"/>
      <c r="N804" s="48"/>
    </row>
    <row r="805" spans="12:14" ht="15.75" x14ac:dyDescent="0.25">
      <c r="L805" s="48"/>
      <c r="M805" s="48"/>
      <c r="N805" s="48"/>
    </row>
    <row r="806" spans="12:14" ht="15.75" x14ac:dyDescent="0.25">
      <c r="L806" s="48"/>
      <c r="M806" s="48"/>
      <c r="N806" s="48"/>
    </row>
    <row r="807" spans="12:14" ht="15.75" x14ac:dyDescent="0.25">
      <c r="L807" s="48"/>
      <c r="M807" s="48"/>
      <c r="N807" s="48"/>
    </row>
    <row r="808" spans="12:14" ht="15.75" x14ac:dyDescent="0.25">
      <c r="L808" s="48"/>
      <c r="M808" s="48"/>
      <c r="N808" s="48"/>
    </row>
    <row r="809" spans="12:14" ht="15.75" x14ac:dyDescent="0.25">
      <c r="L809" s="48"/>
      <c r="M809" s="48"/>
      <c r="N809" s="48"/>
    </row>
    <row r="810" spans="12:14" ht="15.75" x14ac:dyDescent="0.25">
      <c r="L810" s="48"/>
      <c r="M810" s="48"/>
      <c r="N810" s="48"/>
    </row>
    <row r="811" spans="12:14" ht="15.75" x14ac:dyDescent="0.25">
      <c r="L811" s="48"/>
      <c r="M811" s="48"/>
      <c r="N811" s="48"/>
    </row>
    <row r="812" spans="12:14" ht="15.75" x14ac:dyDescent="0.25">
      <c r="L812" s="48"/>
      <c r="M812" s="48"/>
      <c r="N812" s="48"/>
    </row>
    <row r="813" spans="12:14" ht="15.75" x14ac:dyDescent="0.25">
      <c r="L813" s="48"/>
      <c r="M813" s="48"/>
      <c r="N813" s="48"/>
    </row>
    <row r="814" spans="12:14" ht="15.75" x14ac:dyDescent="0.25">
      <c r="L814" s="48"/>
      <c r="M814" s="48"/>
      <c r="N814" s="48"/>
    </row>
    <row r="815" spans="12:14" ht="15.75" x14ac:dyDescent="0.25">
      <c r="L815" s="48"/>
      <c r="M815" s="48"/>
      <c r="N815" s="48"/>
    </row>
    <row r="816" spans="12:14" ht="15.75" x14ac:dyDescent="0.25">
      <c r="L816" s="48"/>
      <c r="M816" s="48"/>
      <c r="N816" s="48"/>
    </row>
    <row r="817" spans="12:14" ht="15.75" x14ac:dyDescent="0.25">
      <c r="L817" s="48"/>
      <c r="M817" s="48"/>
      <c r="N817" s="48"/>
    </row>
    <row r="818" spans="12:14" ht="15.75" x14ac:dyDescent="0.25">
      <c r="L818" s="48"/>
      <c r="M818" s="48"/>
      <c r="N818" s="48"/>
    </row>
    <row r="819" spans="12:14" ht="15.75" x14ac:dyDescent="0.25">
      <c r="L819" s="48"/>
      <c r="M819" s="48"/>
      <c r="N819" s="48"/>
    </row>
    <row r="820" spans="12:14" ht="15.75" x14ac:dyDescent="0.25">
      <c r="L820" s="48"/>
      <c r="M820" s="48"/>
      <c r="N820" s="48"/>
    </row>
    <row r="821" spans="12:14" ht="15.75" x14ac:dyDescent="0.25">
      <c r="L821" s="48"/>
      <c r="M821" s="48"/>
      <c r="N821" s="48"/>
    </row>
    <row r="822" spans="12:14" ht="15.75" x14ac:dyDescent="0.25">
      <c r="L822" s="48"/>
      <c r="M822" s="48"/>
      <c r="N822" s="48"/>
    </row>
    <row r="823" spans="12:14" ht="15.75" x14ac:dyDescent="0.25">
      <c r="L823" s="48"/>
      <c r="M823" s="48"/>
      <c r="N823" s="48"/>
    </row>
    <row r="824" spans="12:14" ht="15.75" x14ac:dyDescent="0.25">
      <c r="L824" s="48"/>
      <c r="M824" s="48"/>
      <c r="N824" s="48"/>
    </row>
    <row r="825" spans="12:14" ht="15.75" x14ac:dyDescent="0.25">
      <c r="L825" s="48"/>
      <c r="M825" s="48"/>
      <c r="N825" s="48"/>
    </row>
    <row r="826" spans="12:14" ht="15.75" x14ac:dyDescent="0.25">
      <c r="L826" s="48"/>
      <c r="M826" s="48"/>
      <c r="N826" s="48"/>
    </row>
    <row r="827" spans="12:14" ht="15.75" x14ac:dyDescent="0.25">
      <c r="L827" s="48"/>
      <c r="M827" s="48"/>
      <c r="N827" s="48"/>
    </row>
    <row r="828" spans="12:14" ht="15.75" x14ac:dyDescent="0.25">
      <c r="L828" s="48"/>
      <c r="M828" s="48"/>
      <c r="N828" s="48"/>
    </row>
    <row r="829" spans="12:14" ht="15.75" x14ac:dyDescent="0.25">
      <c r="L829" s="48"/>
      <c r="M829" s="48"/>
      <c r="N829" s="48"/>
    </row>
    <row r="830" spans="12:14" ht="15.75" x14ac:dyDescent="0.25">
      <c r="L830" s="48"/>
      <c r="M830" s="48"/>
      <c r="N830" s="48"/>
    </row>
    <row r="831" spans="12:14" ht="15.75" x14ac:dyDescent="0.25">
      <c r="L831" s="48"/>
      <c r="M831" s="48"/>
      <c r="N831" s="48"/>
    </row>
    <row r="832" spans="12:14" ht="15.75" x14ac:dyDescent="0.25">
      <c r="L832" s="48"/>
      <c r="M832" s="48"/>
      <c r="N832" s="48"/>
    </row>
    <row r="833" spans="12:14" ht="15.75" x14ac:dyDescent="0.25">
      <c r="L833" s="48"/>
      <c r="M833" s="48"/>
      <c r="N833" s="48"/>
    </row>
    <row r="834" spans="12:14" ht="15.75" x14ac:dyDescent="0.25">
      <c r="L834" s="48"/>
      <c r="M834" s="48"/>
      <c r="N834" s="48"/>
    </row>
    <row r="835" spans="12:14" ht="15.75" x14ac:dyDescent="0.25">
      <c r="L835" s="48"/>
      <c r="M835" s="48"/>
      <c r="N835" s="48"/>
    </row>
    <row r="836" spans="12:14" ht="15.75" x14ac:dyDescent="0.25">
      <c r="L836" s="48"/>
      <c r="M836" s="48"/>
      <c r="N836" s="48"/>
    </row>
    <row r="837" spans="12:14" ht="15.75" x14ac:dyDescent="0.25">
      <c r="L837" s="48"/>
      <c r="M837" s="48"/>
      <c r="N837" s="48"/>
    </row>
    <row r="838" spans="12:14" ht="15.75" x14ac:dyDescent="0.25">
      <c r="L838" s="48"/>
      <c r="M838" s="48"/>
      <c r="N838" s="48"/>
    </row>
    <row r="839" spans="12:14" ht="15.75" x14ac:dyDescent="0.25">
      <c r="L839" s="48"/>
      <c r="M839" s="48"/>
      <c r="N839" s="48"/>
    </row>
    <row r="840" spans="12:14" ht="15.75" x14ac:dyDescent="0.25">
      <c r="L840" s="48"/>
      <c r="M840" s="48"/>
      <c r="N840" s="48"/>
    </row>
    <row r="841" spans="12:14" ht="15.75" x14ac:dyDescent="0.25">
      <c r="L841" s="48"/>
      <c r="M841" s="48"/>
      <c r="N841" s="48"/>
    </row>
    <row r="842" spans="12:14" ht="15.75" x14ac:dyDescent="0.25">
      <c r="L842" s="48"/>
      <c r="M842" s="48"/>
      <c r="N842" s="48"/>
    </row>
    <row r="843" spans="12:14" ht="15.75" x14ac:dyDescent="0.25">
      <c r="L843" s="48"/>
      <c r="M843" s="48"/>
      <c r="N843" s="48"/>
    </row>
    <row r="844" spans="12:14" ht="15.75" x14ac:dyDescent="0.25">
      <c r="L844" s="48"/>
      <c r="M844" s="48"/>
      <c r="N844" s="48"/>
    </row>
    <row r="845" spans="12:14" ht="15.75" x14ac:dyDescent="0.25">
      <c r="L845" s="48"/>
      <c r="M845" s="48"/>
      <c r="N845" s="48"/>
    </row>
    <row r="846" spans="12:14" ht="15.75" x14ac:dyDescent="0.25">
      <c r="L846" s="48"/>
      <c r="M846" s="48"/>
      <c r="N846" s="48"/>
    </row>
    <row r="847" spans="12:14" ht="15.75" x14ac:dyDescent="0.25">
      <c r="L847" s="48"/>
      <c r="M847" s="48"/>
      <c r="N847" s="48"/>
    </row>
    <row r="848" spans="12:14" ht="15.75" x14ac:dyDescent="0.25">
      <c r="L848" s="48"/>
      <c r="M848" s="48"/>
      <c r="N848" s="48"/>
    </row>
    <row r="849" spans="12:14" ht="15.75" x14ac:dyDescent="0.25">
      <c r="L849" s="48"/>
      <c r="M849" s="48"/>
      <c r="N849" s="48"/>
    </row>
    <row r="850" spans="12:14" ht="15.75" x14ac:dyDescent="0.25">
      <c r="L850" s="48"/>
      <c r="M850" s="48"/>
      <c r="N850" s="48"/>
    </row>
    <row r="851" spans="12:14" ht="15.75" x14ac:dyDescent="0.25">
      <c r="L851" s="48"/>
      <c r="M851" s="48"/>
      <c r="N851" s="48"/>
    </row>
    <row r="852" spans="12:14" ht="15.75" x14ac:dyDescent="0.25">
      <c r="L852" s="48"/>
      <c r="M852" s="48"/>
      <c r="N852" s="48"/>
    </row>
    <row r="853" spans="12:14" ht="15.75" x14ac:dyDescent="0.25">
      <c r="L853" s="48"/>
      <c r="M853" s="48"/>
      <c r="N853" s="48"/>
    </row>
    <row r="854" spans="12:14" ht="15.75" x14ac:dyDescent="0.25">
      <c r="L854" s="48"/>
      <c r="M854" s="48"/>
      <c r="N854" s="48"/>
    </row>
    <row r="855" spans="12:14" ht="15.75" x14ac:dyDescent="0.25">
      <c r="L855" s="48"/>
      <c r="M855" s="48"/>
      <c r="N855" s="48"/>
    </row>
    <row r="856" spans="12:14" ht="15.75" x14ac:dyDescent="0.25">
      <c r="L856" s="48"/>
      <c r="M856" s="48"/>
      <c r="N856" s="48"/>
    </row>
    <row r="857" spans="12:14" ht="15.75" x14ac:dyDescent="0.25">
      <c r="L857" s="48"/>
      <c r="M857" s="48"/>
      <c r="N857" s="48"/>
    </row>
    <row r="858" spans="12:14" ht="15.75" x14ac:dyDescent="0.25">
      <c r="L858" s="48"/>
      <c r="M858" s="48"/>
      <c r="N858" s="48"/>
    </row>
    <row r="859" spans="12:14" ht="15.75" x14ac:dyDescent="0.25">
      <c r="L859" s="48"/>
      <c r="M859" s="48"/>
      <c r="N859" s="48"/>
    </row>
    <row r="860" spans="12:14" ht="15.75" x14ac:dyDescent="0.25">
      <c r="L860" s="48"/>
      <c r="M860" s="48"/>
      <c r="N860" s="48"/>
    </row>
    <row r="861" spans="12:14" ht="15.75" x14ac:dyDescent="0.25">
      <c r="L861" s="48"/>
      <c r="M861" s="48"/>
      <c r="N861" s="48"/>
    </row>
    <row r="862" spans="12:14" ht="15.75" x14ac:dyDescent="0.25">
      <c r="L862" s="48"/>
      <c r="M862" s="48"/>
      <c r="N862" s="48"/>
    </row>
    <row r="863" spans="12:14" ht="15.75" x14ac:dyDescent="0.25">
      <c r="L863" s="48"/>
      <c r="M863" s="48"/>
      <c r="N863" s="48"/>
    </row>
    <row r="864" spans="12:14" ht="15.75" x14ac:dyDescent="0.25">
      <c r="L864" s="48"/>
      <c r="M864" s="48"/>
      <c r="N864" s="48"/>
    </row>
    <row r="865" spans="12:14" ht="15.75" x14ac:dyDescent="0.25">
      <c r="L865" s="48"/>
      <c r="M865" s="48"/>
      <c r="N865" s="48"/>
    </row>
    <row r="866" spans="12:14" ht="15.75" x14ac:dyDescent="0.25">
      <c r="L866" s="48"/>
      <c r="M866" s="48"/>
      <c r="N866" s="48"/>
    </row>
    <row r="867" spans="12:14" ht="15.75" x14ac:dyDescent="0.25">
      <c r="L867" s="48"/>
      <c r="M867" s="48"/>
      <c r="N867" s="48"/>
    </row>
    <row r="868" spans="12:14" ht="15.75" x14ac:dyDescent="0.25">
      <c r="L868" s="48"/>
      <c r="M868" s="48"/>
      <c r="N868" s="48"/>
    </row>
    <row r="869" spans="12:14" ht="15.75" x14ac:dyDescent="0.25">
      <c r="L869" s="48"/>
      <c r="M869" s="48"/>
      <c r="N869" s="48"/>
    </row>
    <row r="870" spans="12:14" ht="15.75" x14ac:dyDescent="0.25">
      <c r="L870" s="48"/>
      <c r="M870" s="48"/>
      <c r="N870" s="48"/>
    </row>
    <row r="871" spans="12:14" ht="15.75" x14ac:dyDescent="0.25">
      <c r="L871" s="48"/>
      <c r="M871" s="48"/>
      <c r="N871" s="48"/>
    </row>
    <row r="872" spans="12:14" ht="15.75" x14ac:dyDescent="0.25">
      <c r="L872" s="48"/>
      <c r="M872" s="48"/>
      <c r="N872" s="48"/>
    </row>
    <row r="873" spans="12:14" ht="15.75" x14ac:dyDescent="0.25">
      <c r="L873" s="48"/>
      <c r="M873" s="48"/>
      <c r="N873" s="48"/>
    </row>
    <row r="874" spans="12:14" ht="15.75" x14ac:dyDescent="0.25">
      <c r="L874" s="48"/>
      <c r="M874" s="48"/>
      <c r="N874" s="48"/>
    </row>
    <row r="875" spans="12:14" ht="15.75" x14ac:dyDescent="0.25">
      <c r="L875" s="48"/>
      <c r="M875" s="48"/>
      <c r="N875" s="48"/>
    </row>
    <row r="876" spans="12:14" ht="15.75" x14ac:dyDescent="0.25">
      <c r="L876" s="48"/>
      <c r="M876" s="48"/>
      <c r="N876" s="48"/>
    </row>
    <row r="877" spans="12:14" ht="15.75" x14ac:dyDescent="0.25">
      <c r="L877" s="48"/>
      <c r="M877" s="48"/>
      <c r="N877" s="48"/>
    </row>
    <row r="878" spans="12:14" ht="15.75" x14ac:dyDescent="0.25">
      <c r="L878" s="48"/>
      <c r="M878" s="48"/>
      <c r="N878" s="48"/>
    </row>
    <row r="879" spans="12:14" ht="15.75" x14ac:dyDescent="0.25">
      <c r="L879" s="48"/>
      <c r="M879" s="48"/>
      <c r="N879" s="48"/>
    </row>
    <row r="880" spans="12:14" ht="15.75" x14ac:dyDescent="0.25">
      <c r="L880" s="48"/>
      <c r="M880" s="48"/>
      <c r="N880" s="48"/>
    </row>
    <row r="881" spans="12:14" ht="15.75" x14ac:dyDescent="0.25">
      <c r="L881" s="48"/>
      <c r="M881" s="48"/>
      <c r="N881" s="48"/>
    </row>
    <row r="882" spans="12:14" ht="15.75" x14ac:dyDescent="0.25">
      <c r="L882" s="48"/>
      <c r="M882" s="48"/>
      <c r="N882" s="48"/>
    </row>
    <row r="883" spans="12:14" ht="15.75" x14ac:dyDescent="0.25">
      <c r="L883" s="48"/>
      <c r="M883" s="48"/>
      <c r="N883" s="48"/>
    </row>
    <row r="884" spans="12:14" ht="15.75" x14ac:dyDescent="0.25">
      <c r="L884" s="48"/>
      <c r="M884" s="48"/>
      <c r="N884" s="48"/>
    </row>
    <row r="885" spans="12:14" ht="15.75" x14ac:dyDescent="0.25">
      <c r="L885" s="48"/>
      <c r="M885" s="48"/>
      <c r="N885" s="48"/>
    </row>
    <row r="886" spans="12:14" ht="15.75" x14ac:dyDescent="0.25">
      <c r="L886" s="48"/>
      <c r="M886" s="48"/>
      <c r="N886" s="48"/>
    </row>
    <row r="887" spans="12:14" ht="15.75" x14ac:dyDescent="0.25">
      <c r="L887" s="48"/>
      <c r="M887" s="48"/>
      <c r="N887" s="48"/>
    </row>
    <row r="888" spans="12:14" ht="15.75" x14ac:dyDescent="0.25">
      <c r="L888" s="48"/>
      <c r="M888" s="48"/>
      <c r="N888" s="48"/>
    </row>
    <row r="889" spans="12:14" ht="15.75" x14ac:dyDescent="0.25">
      <c r="L889" s="48"/>
      <c r="M889" s="48"/>
      <c r="N889" s="48"/>
    </row>
    <row r="890" spans="12:14" ht="15.75" x14ac:dyDescent="0.25">
      <c r="L890" s="48"/>
      <c r="M890" s="48"/>
      <c r="N890" s="48"/>
    </row>
    <row r="891" spans="12:14" ht="15.75" x14ac:dyDescent="0.25">
      <c r="L891" s="48"/>
      <c r="M891" s="48"/>
      <c r="N891" s="48"/>
    </row>
    <row r="892" spans="12:14" ht="15.75" x14ac:dyDescent="0.25">
      <c r="L892" s="48"/>
      <c r="M892" s="48"/>
      <c r="N892" s="48"/>
    </row>
    <row r="893" spans="12:14" ht="15.75" x14ac:dyDescent="0.25">
      <c r="L893" s="48"/>
      <c r="M893" s="48"/>
      <c r="N893" s="48"/>
    </row>
    <row r="894" spans="12:14" ht="15.75" x14ac:dyDescent="0.25">
      <c r="L894" s="48"/>
      <c r="M894" s="48"/>
      <c r="N894" s="48"/>
    </row>
    <row r="895" spans="12:14" ht="15.75" x14ac:dyDescent="0.25">
      <c r="L895" s="48"/>
      <c r="M895" s="48"/>
      <c r="N895" s="48"/>
    </row>
    <row r="896" spans="12:14" ht="15.75" x14ac:dyDescent="0.25">
      <c r="L896" s="48"/>
      <c r="M896" s="48"/>
      <c r="N896" s="48"/>
    </row>
    <row r="897" spans="12:14" ht="15.75" x14ac:dyDescent="0.25">
      <c r="L897" s="48"/>
      <c r="M897" s="48"/>
      <c r="N897" s="48"/>
    </row>
    <row r="898" spans="12:14" ht="15.75" x14ac:dyDescent="0.25">
      <c r="L898" s="48"/>
      <c r="M898" s="48"/>
      <c r="N898" s="48"/>
    </row>
    <row r="899" spans="12:14" ht="15.75" x14ac:dyDescent="0.25">
      <c r="L899" s="48"/>
      <c r="M899" s="48"/>
      <c r="N899" s="48"/>
    </row>
    <row r="900" spans="12:14" ht="15.75" x14ac:dyDescent="0.25">
      <c r="L900" s="48"/>
      <c r="M900" s="48"/>
      <c r="N900" s="48"/>
    </row>
    <row r="901" spans="12:14" ht="15.75" x14ac:dyDescent="0.25">
      <c r="L901" s="48"/>
      <c r="M901" s="48"/>
      <c r="N901" s="48"/>
    </row>
    <row r="902" spans="12:14" ht="15.75" x14ac:dyDescent="0.25">
      <c r="L902" s="48"/>
      <c r="M902" s="48"/>
      <c r="N902" s="48"/>
    </row>
    <row r="903" spans="12:14" ht="15.75" x14ac:dyDescent="0.25">
      <c r="L903" s="48"/>
      <c r="M903" s="48"/>
      <c r="N903" s="48"/>
    </row>
    <row r="904" spans="12:14" ht="15.75" x14ac:dyDescent="0.25">
      <c r="L904" s="48"/>
      <c r="M904" s="48"/>
      <c r="N904" s="48"/>
    </row>
    <row r="905" spans="12:14" ht="15.75" x14ac:dyDescent="0.25">
      <c r="L905" s="48"/>
      <c r="M905" s="48"/>
      <c r="N905" s="48"/>
    </row>
    <row r="906" spans="12:14" ht="15.75" x14ac:dyDescent="0.25">
      <c r="L906" s="48"/>
      <c r="M906" s="48"/>
      <c r="N906" s="48"/>
    </row>
    <row r="907" spans="12:14" ht="15.75" x14ac:dyDescent="0.25">
      <c r="L907" s="48"/>
      <c r="M907" s="48"/>
      <c r="N907" s="48"/>
    </row>
    <row r="908" spans="12:14" ht="15.75" x14ac:dyDescent="0.25">
      <c r="L908" s="48"/>
      <c r="M908" s="48"/>
      <c r="N908" s="48"/>
    </row>
    <row r="909" spans="12:14" ht="15.75" x14ac:dyDescent="0.25">
      <c r="L909" s="48"/>
      <c r="M909" s="48"/>
      <c r="N909" s="48"/>
    </row>
    <row r="910" spans="12:14" ht="15.75" x14ac:dyDescent="0.25">
      <c r="L910" s="48"/>
      <c r="M910" s="48"/>
      <c r="N910" s="48"/>
    </row>
    <row r="911" spans="12:14" ht="15.75" x14ac:dyDescent="0.25">
      <c r="L911" s="48"/>
      <c r="M911" s="48"/>
      <c r="N911" s="48"/>
    </row>
    <row r="912" spans="12:14" ht="15.75" x14ac:dyDescent="0.25">
      <c r="L912" s="48"/>
      <c r="M912" s="48"/>
      <c r="N912" s="48"/>
    </row>
    <row r="913" spans="12:14" ht="15.75" x14ac:dyDescent="0.25">
      <c r="L913" s="48"/>
      <c r="M913" s="48"/>
      <c r="N913" s="48"/>
    </row>
    <row r="914" spans="12:14" ht="15.75" x14ac:dyDescent="0.25">
      <c r="L914" s="48"/>
      <c r="M914" s="48"/>
      <c r="N914" s="48"/>
    </row>
    <row r="915" spans="12:14" ht="15.75" x14ac:dyDescent="0.25">
      <c r="L915" s="48"/>
      <c r="M915" s="48"/>
      <c r="N915" s="48"/>
    </row>
    <row r="916" spans="12:14" ht="15.75" x14ac:dyDescent="0.25">
      <c r="L916" s="48"/>
      <c r="M916" s="48"/>
      <c r="N916" s="48"/>
    </row>
    <row r="917" spans="12:14" ht="15.75" x14ac:dyDescent="0.25">
      <c r="L917" s="48"/>
      <c r="M917" s="48"/>
      <c r="N917" s="48"/>
    </row>
    <row r="918" spans="12:14" ht="15.75" x14ac:dyDescent="0.25">
      <c r="L918" s="48"/>
      <c r="M918" s="48"/>
      <c r="N918" s="48"/>
    </row>
    <row r="919" spans="12:14" ht="15.75" x14ac:dyDescent="0.25">
      <c r="L919" s="48"/>
      <c r="M919" s="48"/>
      <c r="N919" s="48"/>
    </row>
    <row r="920" spans="12:14" ht="15.75" x14ac:dyDescent="0.25">
      <c r="L920" s="48"/>
      <c r="M920" s="48"/>
      <c r="N920" s="48"/>
    </row>
    <row r="921" spans="12:14" ht="15.75" x14ac:dyDescent="0.25">
      <c r="L921" s="48"/>
      <c r="M921" s="48"/>
      <c r="N921" s="48"/>
    </row>
    <row r="922" spans="12:14" ht="15.75" x14ac:dyDescent="0.25">
      <c r="L922" s="48"/>
      <c r="M922" s="48"/>
      <c r="N922" s="48"/>
    </row>
    <row r="923" spans="12:14" ht="15.75" x14ac:dyDescent="0.25">
      <c r="L923" s="48"/>
      <c r="M923" s="48"/>
      <c r="N923" s="48"/>
    </row>
    <row r="924" spans="12:14" ht="15.75" x14ac:dyDescent="0.25">
      <c r="L924" s="48"/>
      <c r="M924" s="48"/>
      <c r="N924" s="48"/>
    </row>
    <row r="925" spans="12:14" ht="15.75" x14ac:dyDescent="0.25">
      <c r="L925" s="48"/>
      <c r="M925" s="48"/>
      <c r="N925" s="48"/>
    </row>
    <row r="926" spans="12:14" ht="15.75" x14ac:dyDescent="0.25">
      <c r="L926" s="48"/>
      <c r="M926" s="48"/>
      <c r="N926" s="48"/>
    </row>
    <row r="927" spans="12:14" ht="15.75" x14ac:dyDescent="0.25">
      <c r="L927" s="48"/>
      <c r="M927" s="48"/>
      <c r="N927" s="48"/>
    </row>
    <row r="928" spans="12:14" ht="15.75" x14ac:dyDescent="0.25">
      <c r="L928" s="48"/>
      <c r="M928" s="48"/>
      <c r="N928" s="48"/>
    </row>
    <row r="929" spans="12:14" ht="15.75" x14ac:dyDescent="0.25">
      <c r="L929" s="48"/>
      <c r="M929" s="48"/>
      <c r="N929" s="48"/>
    </row>
    <row r="930" spans="12:14" ht="15.75" x14ac:dyDescent="0.25">
      <c r="L930" s="48"/>
      <c r="M930" s="48"/>
      <c r="N930" s="48"/>
    </row>
    <row r="931" spans="12:14" ht="15.75" x14ac:dyDescent="0.25">
      <c r="L931" s="48"/>
      <c r="M931" s="48"/>
      <c r="N931" s="48"/>
    </row>
    <row r="932" spans="12:14" ht="15.75" x14ac:dyDescent="0.25">
      <c r="L932" s="48"/>
      <c r="M932" s="48"/>
      <c r="N932" s="48"/>
    </row>
    <row r="933" spans="12:14" ht="15.75" x14ac:dyDescent="0.25">
      <c r="L933" s="48"/>
      <c r="M933" s="48"/>
      <c r="N933" s="48"/>
    </row>
    <row r="934" spans="12:14" ht="15.75" x14ac:dyDescent="0.25">
      <c r="L934" s="48"/>
      <c r="M934" s="48"/>
      <c r="N934" s="48"/>
    </row>
    <row r="935" spans="12:14" ht="15.75" x14ac:dyDescent="0.25">
      <c r="L935" s="48"/>
      <c r="M935" s="48"/>
      <c r="N935" s="48"/>
    </row>
    <row r="936" spans="12:14" ht="15.75" x14ac:dyDescent="0.25">
      <c r="L936" s="48"/>
      <c r="M936" s="48"/>
      <c r="N936" s="48"/>
    </row>
    <row r="937" spans="12:14" ht="15.75" x14ac:dyDescent="0.25">
      <c r="L937" s="48"/>
      <c r="M937" s="48"/>
      <c r="N937" s="48"/>
    </row>
    <row r="938" spans="12:14" ht="15.75" x14ac:dyDescent="0.25">
      <c r="L938" s="48"/>
      <c r="M938" s="48"/>
      <c r="N938" s="48"/>
    </row>
    <row r="939" spans="12:14" ht="15.75" x14ac:dyDescent="0.25">
      <c r="L939" s="48"/>
      <c r="M939" s="48"/>
      <c r="N939" s="48"/>
    </row>
    <row r="940" spans="12:14" ht="15.75" x14ac:dyDescent="0.25">
      <c r="L940" s="48"/>
      <c r="M940" s="48"/>
      <c r="N940" s="48"/>
    </row>
    <row r="941" spans="12:14" ht="15.75" x14ac:dyDescent="0.25">
      <c r="L941" s="48"/>
      <c r="M941" s="48"/>
      <c r="N941" s="48"/>
    </row>
    <row r="942" spans="12:14" ht="15.75" x14ac:dyDescent="0.25">
      <c r="L942" s="48"/>
      <c r="M942" s="48"/>
      <c r="N942" s="48"/>
    </row>
    <row r="943" spans="12:14" ht="15.75" x14ac:dyDescent="0.25">
      <c r="L943" s="48"/>
      <c r="M943" s="48"/>
      <c r="N943" s="48"/>
    </row>
    <row r="944" spans="12:14" ht="15.75" x14ac:dyDescent="0.25">
      <c r="L944" s="48"/>
      <c r="M944" s="48"/>
      <c r="N944" s="48"/>
    </row>
    <row r="945" spans="12:14" ht="15.75" x14ac:dyDescent="0.25">
      <c r="L945" s="48"/>
      <c r="M945" s="48"/>
      <c r="N945" s="48"/>
    </row>
    <row r="946" spans="12:14" ht="15.75" x14ac:dyDescent="0.25">
      <c r="L946" s="48"/>
      <c r="M946" s="48"/>
      <c r="N946" s="48"/>
    </row>
    <row r="947" spans="12:14" ht="15.75" x14ac:dyDescent="0.25">
      <c r="L947" s="48"/>
      <c r="M947" s="48"/>
      <c r="N947" s="48"/>
    </row>
    <row r="948" spans="12:14" ht="15.75" x14ac:dyDescent="0.25">
      <c r="L948" s="48"/>
      <c r="M948" s="48"/>
      <c r="N948" s="48"/>
    </row>
    <row r="949" spans="12:14" ht="15.75" x14ac:dyDescent="0.25">
      <c r="L949" s="48"/>
      <c r="M949" s="48"/>
      <c r="N949" s="48"/>
    </row>
    <row r="950" spans="12:14" ht="15.75" x14ac:dyDescent="0.25">
      <c r="L950" s="48"/>
      <c r="M950" s="48"/>
      <c r="N950" s="48"/>
    </row>
    <row r="951" spans="12:14" ht="15.75" x14ac:dyDescent="0.25">
      <c r="L951" s="48"/>
      <c r="M951" s="48"/>
      <c r="N951" s="48"/>
    </row>
    <row r="952" spans="12:14" ht="15.75" x14ac:dyDescent="0.25">
      <c r="L952" s="48"/>
      <c r="M952" s="48"/>
      <c r="N952" s="48"/>
    </row>
    <row r="953" spans="12:14" ht="15.75" x14ac:dyDescent="0.25">
      <c r="L953" s="48"/>
      <c r="M953" s="48"/>
      <c r="N953" s="48"/>
    </row>
    <row r="954" spans="12:14" ht="15.75" x14ac:dyDescent="0.25">
      <c r="L954" s="48"/>
      <c r="M954" s="48"/>
      <c r="N954" s="48"/>
    </row>
    <row r="955" spans="12:14" ht="15.75" x14ac:dyDescent="0.25">
      <c r="L955" s="48"/>
      <c r="M955" s="48"/>
      <c r="N955" s="48"/>
    </row>
    <row r="956" spans="12:14" ht="15.75" x14ac:dyDescent="0.25">
      <c r="L956" s="48"/>
      <c r="M956" s="48"/>
      <c r="N956" s="48"/>
    </row>
    <row r="957" spans="12:14" ht="15.75" x14ac:dyDescent="0.25">
      <c r="L957" s="48"/>
      <c r="M957" s="48"/>
      <c r="N957" s="48"/>
    </row>
    <row r="958" spans="12:14" ht="15.75" x14ac:dyDescent="0.25">
      <c r="L958" s="48"/>
      <c r="M958" s="48"/>
      <c r="N958" s="48"/>
    </row>
    <row r="959" spans="12:14" ht="15.75" x14ac:dyDescent="0.25">
      <c r="L959" s="48"/>
      <c r="M959" s="48"/>
      <c r="N959" s="48"/>
    </row>
    <row r="960" spans="12:14" ht="15.75" x14ac:dyDescent="0.25">
      <c r="L960" s="48"/>
      <c r="M960" s="48"/>
      <c r="N960" s="48"/>
    </row>
    <row r="961" spans="12:14" ht="15.75" x14ac:dyDescent="0.25">
      <c r="L961" s="48"/>
      <c r="M961" s="48"/>
      <c r="N961" s="48"/>
    </row>
    <row r="962" spans="12:14" ht="15.75" x14ac:dyDescent="0.25">
      <c r="L962" s="48"/>
      <c r="M962" s="48"/>
      <c r="N962" s="48"/>
    </row>
    <row r="963" spans="12:14" ht="15.75" x14ac:dyDescent="0.25">
      <c r="L963" s="48"/>
      <c r="M963" s="48"/>
      <c r="N963" s="48"/>
    </row>
    <row r="964" spans="12:14" ht="15.75" x14ac:dyDescent="0.25">
      <c r="L964" s="48"/>
      <c r="M964" s="48"/>
      <c r="N964" s="48"/>
    </row>
    <row r="965" spans="12:14" ht="15.75" x14ac:dyDescent="0.25">
      <c r="L965" s="48"/>
      <c r="M965" s="48"/>
      <c r="N965" s="48"/>
    </row>
    <row r="966" spans="12:14" ht="15.75" x14ac:dyDescent="0.25">
      <c r="L966" s="48"/>
      <c r="M966" s="48"/>
      <c r="N966" s="48"/>
    </row>
    <row r="967" spans="12:14" ht="15.75" x14ac:dyDescent="0.25">
      <c r="L967" s="48"/>
      <c r="M967" s="48"/>
      <c r="N967" s="48"/>
    </row>
    <row r="968" spans="12:14" ht="15.75" x14ac:dyDescent="0.25">
      <c r="L968" s="48"/>
      <c r="M968" s="48"/>
      <c r="N968" s="48"/>
    </row>
    <row r="969" spans="12:14" ht="15.75" x14ac:dyDescent="0.25">
      <c r="L969" s="48"/>
      <c r="M969" s="48"/>
      <c r="N969" s="48"/>
    </row>
    <row r="970" spans="12:14" ht="15.75" x14ac:dyDescent="0.25">
      <c r="L970" s="48"/>
      <c r="M970" s="48"/>
      <c r="N970" s="48"/>
    </row>
    <row r="971" spans="12:14" ht="15.75" x14ac:dyDescent="0.25">
      <c r="L971" s="48"/>
      <c r="M971" s="48"/>
      <c r="N971" s="48"/>
    </row>
    <row r="972" spans="12:14" ht="15.75" x14ac:dyDescent="0.25">
      <c r="L972" s="48"/>
      <c r="M972" s="48"/>
      <c r="N972" s="48"/>
    </row>
    <row r="973" spans="12:14" ht="15.75" x14ac:dyDescent="0.25">
      <c r="L973" s="48"/>
      <c r="M973" s="48"/>
      <c r="N973" s="48"/>
    </row>
    <row r="974" spans="12:14" ht="15.75" x14ac:dyDescent="0.25">
      <c r="L974" s="48"/>
      <c r="M974" s="48"/>
      <c r="N974" s="48"/>
    </row>
    <row r="975" spans="12:14" ht="15.75" x14ac:dyDescent="0.25">
      <c r="L975" s="48"/>
      <c r="M975" s="48"/>
      <c r="N975" s="48"/>
    </row>
    <row r="976" spans="12:14" ht="15.75" x14ac:dyDescent="0.25">
      <c r="L976" s="48"/>
      <c r="M976" s="48"/>
      <c r="N976" s="48"/>
    </row>
    <row r="977" spans="12:14" ht="15.75" x14ac:dyDescent="0.25">
      <c r="L977" s="48"/>
      <c r="M977" s="48"/>
      <c r="N977" s="48"/>
    </row>
    <row r="978" spans="12:14" ht="15.75" x14ac:dyDescent="0.25">
      <c r="L978" s="48"/>
      <c r="M978" s="48"/>
      <c r="N978" s="48"/>
    </row>
    <row r="979" spans="12:14" ht="15.75" x14ac:dyDescent="0.25">
      <c r="L979" s="48"/>
      <c r="M979" s="48"/>
      <c r="N979" s="48"/>
    </row>
    <row r="980" spans="12:14" ht="15.75" x14ac:dyDescent="0.25">
      <c r="L980" s="48"/>
      <c r="M980" s="48"/>
      <c r="N980" s="48"/>
    </row>
    <row r="981" spans="12:14" ht="15.75" x14ac:dyDescent="0.25">
      <c r="L981" s="48"/>
      <c r="M981" s="48"/>
      <c r="N981" s="48"/>
    </row>
    <row r="982" spans="12:14" ht="15.75" x14ac:dyDescent="0.25">
      <c r="L982" s="48"/>
      <c r="M982" s="48"/>
      <c r="N982" s="48"/>
    </row>
    <row r="983" spans="12:14" ht="15.75" x14ac:dyDescent="0.25">
      <c r="L983" s="48"/>
      <c r="M983" s="48"/>
      <c r="N983" s="48"/>
    </row>
    <row r="984" spans="12:14" ht="15.75" x14ac:dyDescent="0.25">
      <c r="L984" s="48"/>
      <c r="M984" s="48"/>
      <c r="N984" s="48"/>
    </row>
    <row r="985" spans="12:14" ht="15.75" x14ac:dyDescent="0.25">
      <c r="L985" s="48"/>
      <c r="M985" s="48"/>
      <c r="N985" s="48"/>
    </row>
    <row r="986" spans="12:14" ht="15.75" x14ac:dyDescent="0.25">
      <c r="L986" s="48"/>
      <c r="M986" s="48"/>
      <c r="N986" s="48"/>
    </row>
    <row r="987" spans="12:14" ht="15.75" x14ac:dyDescent="0.25">
      <c r="L987" s="48"/>
      <c r="M987" s="48"/>
      <c r="N987" s="48"/>
    </row>
    <row r="988" spans="12:14" ht="15.75" x14ac:dyDescent="0.25">
      <c r="L988" s="48"/>
      <c r="M988" s="48"/>
      <c r="N988" s="48"/>
    </row>
    <row r="989" spans="12:14" ht="15.75" x14ac:dyDescent="0.25">
      <c r="L989" s="48"/>
      <c r="M989" s="48"/>
      <c r="N989" s="48"/>
    </row>
    <row r="990" spans="12:14" ht="15.75" x14ac:dyDescent="0.25">
      <c r="L990" s="48"/>
      <c r="M990" s="48"/>
      <c r="N990" s="48"/>
    </row>
    <row r="991" spans="12:14" ht="15.75" x14ac:dyDescent="0.25">
      <c r="L991" s="48"/>
      <c r="M991" s="48"/>
      <c r="N991" s="48"/>
    </row>
    <row r="992" spans="12:14" ht="15.75" x14ac:dyDescent="0.25">
      <c r="L992" s="48"/>
      <c r="M992" s="48"/>
      <c r="N992" s="48"/>
    </row>
    <row r="993" spans="12:14" ht="15.75" x14ac:dyDescent="0.25">
      <c r="L993" s="48"/>
      <c r="M993" s="48"/>
      <c r="N993" s="48"/>
    </row>
    <row r="994" spans="12:14" ht="15.75" x14ac:dyDescent="0.25">
      <c r="L994" s="48"/>
      <c r="M994" s="48"/>
      <c r="N994" s="48"/>
    </row>
    <row r="995" spans="12:14" ht="15.75" x14ac:dyDescent="0.25">
      <c r="L995" s="48"/>
      <c r="M995" s="48"/>
      <c r="N995" s="48"/>
    </row>
    <row r="996" spans="12:14" ht="15.75" x14ac:dyDescent="0.25">
      <c r="L996" s="48"/>
      <c r="M996" s="48"/>
      <c r="N996" s="48"/>
    </row>
    <row r="997" spans="12:14" ht="15.75" x14ac:dyDescent="0.25">
      <c r="L997" s="48"/>
      <c r="M997" s="48"/>
      <c r="N997" s="48"/>
    </row>
    <row r="998" spans="12:14" ht="15.75" x14ac:dyDescent="0.25">
      <c r="L998" s="48"/>
      <c r="M998" s="48"/>
      <c r="N998" s="48"/>
    </row>
    <row r="999" spans="12:14" ht="15.75" x14ac:dyDescent="0.25">
      <c r="L999" s="48"/>
      <c r="M999" s="48"/>
      <c r="N999" s="48"/>
    </row>
    <row r="1000" spans="12:14" ht="15.75" x14ac:dyDescent="0.25">
      <c r="L1000" s="48"/>
      <c r="M1000" s="48"/>
      <c r="N1000" s="48"/>
    </row>
    <row r="1001" spans="12:14" ht="15.75" x14ac:dyDescent="0.25">
      <c r="L1001" s="48"/>
      <c r="M1001" s="48"/>
      <c r="N1001" s="48"/>
    </row>
    <row r="1002" spans="12:14" ht="15.75" x14ac:dyDescent="0.25">
      <c r="L1002" s="48"/>
      <c r="M1002" s="48"/>
      <c r="N1002" s="48"/>
    </row>
    <row r="1003" spans="12:14" ht="15.75" x14ac:dyDescent="0.25">
      <c r="L1003" s="48"/>
      <c r="M1003" s="48"/>
      <c r="N1003" s="48"/>
    </row>
    <row r="1004" spans="12:14" ht="15.75" x14ac:dyDescent="0.25">
      <c r="L1004" s="48"/>
      <c r="M1004" s="48"/>
      <c r="N1004" s="48"/>
    </row>
    <row r="1005" spans="12:14" ht="15.75" x14ac:dyDescent="0.25">
      <c r="L1005" s="48"/>
      <c r="M1005" s="48"/>
      <c r="N1005" s="48"/>
    </row>
    <row r="1006" spans="12:14" ht="15.75" x14ac:dyDescent="0.25">
      <c r="L1006" s="48"/>
      <c r="M1006" s="48"/>
      <c r="N1006" s="48"/>
    </row>
    <row r="1007" spans="12:14" ht="15.75" x14ac:dyDescent="0.25">
      <c r="L1007" s="48"/>
      <c r="M1007" s="48"/>
      <c r="N1007" s="48"/>
    </row>
    <row r="1008" spans="12:14" ht="15.75" x14ac:dyDescent="0.25">
      <c r="L1008" s="48"/>
      <c r="M1008" s="48"/>
      <c r="N1008" s="48"/>
    </row>
    <row r="1009" spans="12:14" ht="15.75" x14ac:dyDescent="0.25">
      <c r="L1009" s="48"/>
      <c r="M1009" s="48"/>
      <c r="N1009" s="48"/>
    </row>
    <row r="1010" spans="12:14" ht="15.75" x14ac:dyDescent="0.25">
      <c r="L1010" s="48"/>
      <c r="M1010" s="48"/>
      <c r="N1010" s="48"/>
    </row>
    <row r="1011" spans="12:14" ht="15.75" x14ac:dyDescent="0.25">
      <c r="L1011" s="48"/>
      <c r="M1011" s="48"/>
      <c r="N1011" s="48"/>
    </row>
    <row r="1012" spans="12:14" ht="15.75" x14ac:dyDescent="0.25">
      <c r="L1012" s="48"/>
      <c r="M1012" s="48"/>
      <c r="N1012" s="48"/>
    </row>
    <row r="1013" spans="12:14" ht="15.75" x14ac:dyDescent="0.25">
      <c r="L1013" s="48"/>
      <c r="M1013" s="48"/>
      <c r="N1013" s="48"/>
    </row>
    <row r="1014" spans="12:14" ht="15.75" x14ac:dyDescent="0.25">
      <c r="L1014" s="48"/>
      <c r="M1014" s="48"/>
      <c r="N1014" s="48"/>
    </row>
    <row r="1015" spans="12:14" ht="15.75" x14ac:dyDescent="0.25">
      <c r="L1015" s="48"/>
      <c r="M1015" s="48"/>
      <c r="N1015" s="48"/>
    </row>
    <row r="1016" spans="12:14" ht="15.75" x14ac:dyDescent="0.25">
      <c r="L1016" s="48"/>
      <c r="M1016" s="48"/>
      <c r="N1016" s="48"/>
    </row>
    <row r="1017" spans="12:14" ht="15.75" x14ac:dyDescent="0.25">
      <c r="L1017" s="48"/>
      <c r="M1017" s="48"/>
      <c r="N1017" s="48"/>
    </row>
    <row r="1018" spans="12:14" ht="15.75" x14ac:dyDescent="0.25">
      <c r="L1018" s="48"/>
      <c r="M1018" s="48"/>
      <c r="N1018" s="48"/>
    </row>
    <row r="1019" spans="12:14" ht="15.75" x14ac:dyDescent="0.25">
      <c r="L1019" s="48"/>
      <c r="M1019" s="48"/>
      <c r="N1019" s="48"/>
    </row>
    <row r="1020" spans="12:14" ht="15.75" x14ac:dyDescent="0.25">
      <c r="L1020" s="48"/>
      <c r="M1020" s="48"/>
      <c r="N1020" s="48"/>
    </row>
    <row r="1021" spans="12:14" ht="15.75" x14ac:dyDescent="0.25">
      <c r="L1021" s="48"/>
      <c r="M1021" s="48"/>
      <c r="N1021" s="48"/>
    </row>
    <row r="1022" spans="12:14" ht="15.75" x14ac:dyDescent="0.25">
      <c r="L1022" s="48"/>
      <c r="M1022" s="48"/>
      <c r="N1022" s="48"/>
    </row>
    <row r="1023" spans="12:14" ht="15.75" x14ac:dyDescent="0.25">
      <c r="L1023" s="48"/>
      <c r="M1023" s="48"/>
      <c r="N1023" s="48"/>
    </row>
    <row r="1024" spans="12:14" ht="15.75" x14ac:dyDescent="0.25">
      <c r="L1024" s="48"/>
      <c r="M1024" s="48"/>
      <c r="N1024" s="48"/>
    </row>
    <row r="1025" spans="12:14" ht="15.75" x14ac:dyDescent="0.25">
      <c r="L1025" s="48"/>
      <c r="M1025" s="48"/>
      <c r="N1025" s="48"/>
    </row>
    <row r="1026" spans="12:14" ht="15.75" x14ac:dyDescent="0.25">
      <c r="L1026" s="48"/>
      <c r="M1026" s="48"/>
      <c r="N1026" s="48"/>
    </row>
    <row r="1027" spans="12:14" ht="15.75" x14ac:dyDescent="0.25">
      <c r="L1027" s="48"/>
      <c r="M1027" s="48"/>
      <c r="N1027" s="48"/>
    </row>
    <row r="1028" spans="12:14" ht="15.75" x14ac:dyDescent="0.25">
      <c r="L1028" s="48"/>
      <c r="M1028" s="48"/>
      <c r="N1028" s="48"/>
    </row>
    <row r="1029" spans="12:14" ht="15.75" x14ac:dyDescent="0.25">
      <c r="L1029" s="48"/>
      <c r="M1029" s="48"/>
      <c r="N1029" s="48"/>
    </row>
    <row r="1030" spans="12:14" ht="15.75" x14ac:dyDescent="0.25">
      <c r="L1030" s="48"/>
      <c r="M1030" s="48"/>
      <c r="N1030" s="48"/>
    </row>
    <row r="1031" spans="12:14" ht="15.75" x14ac:dyDescent="0.25">
      <c r="L1031" s="48"/>
      <c r="M1031" s="48"/>
      <c r="N1031" s="48"/>
    </row>
    <row r="1032" spans="12:14" ht="15.75" x14ac:dyDescent="0.25">
      <c r="L1032" s="48"/>
      <c r="M1032" s="48"/>
      <c r="N1032" s="48"/>
    </row>
    <row r="1033" spans="12:14" ht="15.75" x14ac:dyDescent="0.25">
      <c r="L1033" s="48"/>
      <c r="M1033" s="48"/>
      <c r="N1033" s="48"/>
    </row>
    <row r="1034" spans="12:14" ht="15.75" x14ac:dyDescent="0.25">
      <c r="L1034" s="48"/>
      <c r="M1034" s="48"/>
      <c r="N1034" s="48"/>
    </row>
    <row r="1035" spans="12:14" ht="15.75" x14ac:dyDescent="0.25">
      <c r="L1035" s="48"/>
      <c r="M1035" s="48"/>
      <c r="N1035" s="48"/>
    </row>
    <row r="1036" spans="12:14" ht="15.75" x14ac:dyDescent="0.25">
      <c r="L1036" s="48"/>
      <c r="M1036" s="48"/>
      <c r="N1036" s="48"/>
    </row>
    <row r="1037" spans="12:14" ht="15.75" x14ac:dyDescent="0.25">
      <c r="L1037" s="48"/>
      <c r="M1037" s="48"/>
      <c r="N1037" s="48"/>
    </row>
    <row r="1038" spans="12:14" ht="15.75" x14ac:dyDescent="0.25">
      <c r="L1038" s="48"/>
      <c r="M1038" s="48"/>
      <c r="N1038" s="48"/>
    </row>
    <row r="1039" spans="12:14" ht="15.75" x14ac:dyDescent="0.25">
      <c r="L1039" s="48"/>
      <c r="M1039" s="48"/>
      <c r="N1039" s="48"/>
    </row>
    <row r="1040" spans="12:14" ht="15.75" x14ac:dyDescent="0.25">
      <c r="L1040" s="48"/>
      <c r="M1040" s="48"/>
      <c r="N1040" s="48"/>
    </row>
    <row r="1041" spans="12:14" ht="15.75" x14ac:dyDescent="0.25">
      <c r="L1041" s="48"/>
      <c r="M1041" s="48"/>
      <c r="N1041" s="48"/>
    </row>
    <row r="1042" spans="12:14" ht="15.75" x14ac:dyDescent="0.25">
      <c r="L1042" s="48"/>
      <c r="M1042" s="48"/>
      <c r="N1042" s="48"/>
    </row>
    <row r="1043" spans="12:14" ht="15.75" x14ac:dyDescent="0.25">
      <c r="L1043" s="48"/>
      <c r="M1043" s="48"/>
      <c r="N1043" s="48"/>
    </row>
    <row r="1044" spans="12:14" ht="15.75" x14ac:dyDescent="0.25">
      <c r="L1044" s="48"/>
      <c r="M1044" s="48"/>
      <c r="N1044" s="48"/>
    </row>
    <row r="1045" spans="12:14" ht="15.75" x14ac:dyDescent="0.25">
      <c r="L1045" s="48"/>
      <c r="M1045" s="48"/>
      <c r="N1045" s="48"/>
    </row>
    <row r="1046" spans="12:14" ht="15.75" x14ac:dyDescent="0.25">
      <c r="L1046" s="48"/>
      <c r="M1046" s="48"/>
      <c r="N1046" s="48"/>
    </row>
    <row r="1047" spans="12:14" ht="15.75" x14ac:dyDescent="0.25">
      <c r="L1047" s="48"/>
      <c r="M1047" s="48"/>
      <c r="N1047" s="48"/>
    </row>
    <row r="1048" spans="12:14" ht="15.75" x14ac:dyDescent="0.25">
      <c r="L1048" s="48"/>
      <c r="M1048" s="48"/>
      <c r="N1048" s="48"/>
    </row>
    <row r="1049" spans="12:14" ht="15.75" x14ac:dyDescent="0.25">
      <c r="L1049" s="48"/>
      <c r="M1049" s="48"/>
      <c r="N1049" s="48"/>
    </row>
    <row r="1050" spans="12:14" ht="15.75" x14ac:dyDescent="0.25">
      <c r="L1050" s="48"/>
      <c r="M1050" s="48"/>
      <c r="N1050" s="48"/>
    </row>
    <row r="1051" spans="12:14" ht="15.75" x14ac:dyDescent="0.25">
      <c r="L1051" s="48"/>
      <c r="M1051" s="48"/>
      <c r="N1051" s="48"/>
    </row>
    <row r="1052" spans="12:14" ht="15.75" x14ac:dyDescent="0.25">
      <c r="L1052" s="48"/>
      <c r="M1052" s="48"/>
      <c r="N1052" s="48"/>
    </row>
    <row r="1053" spans="12:14" ht="15.75" x14ac:dyDescent="0.25">
      <c r="L1053" s="48"/>
      <c r="M1053" s="48"/>
      <c r="N1053" s="48"/>
    </row>
    <row r="1054" spans="12:14" ht="15.75" x14ac:dyDescent="0.25">
      <c r="L1054" s="48"/>
      <c r="M1054" s="48"/>
      <c r="N1054" s="48"/>
    </row>
    <row r="1055" spans="12:14" ht="15.75" x14ac:dyDescent="0.25">
      <c r="L1055" s="48"/>
      <c r="M1055" s="48"/>
      <c r="N1055" s="48"/>
    </row>
    <row r="1056" spans="12:14" ht="15.75" x14ac:dyDescent="0.25">
      <c r="L1056" s="48"/>
      <c r="M1056" s="48"/>
      <c r="N1056" s="48"/>
    </row>
    <row r="1057" spans="12:14" ht="15.75" x14ac:dyDescent="0.25">
      <c r="L1057" s="48"/>
      <c r="M1057" s="48"/>
      <c r="N1057" s="48"/>
    </row>
    <row r="1058" spans="12:14" ht="15.75" x14ac:dyDescent="0.25">
      <c r="L1058" s="48"/>
      <c r="M1058" s="48"/>
      <c r="N1058" s="48"/>
    </row>
    <row r="1059" spans="12:14" ht="15.75" x14ac:dyDescent="0.25">
      <c r="L1059" s="48"/>
      <c r="M1059" s="48"/>
      <c r="N1059" s="48"/>
    </row>
    <row r="1060" spans="12:14" ht="15.75" x14ac:dyDescent="0.25">
      <c r="L1060" s="48"/>
      <c r="M1060" s="48"/>
      <c r="N1060" s="48"/>
    </row>
    <row r="1061" spans="12:14" ht="15.75" x14ac:dyDescent="0.25">
      <c r="L1061" s="48"/>
      <c r="M1061" s="48"/>
      <c r="N1061" s="48"/>
    </row>
    <row r="1062" spans="12:14" ht="15.75" x14ac:dyDescent="0.25">
      <c r="L1062" s="48"/>
      <c r="M1062" s="48"/>
      <c r="N1062" s="48"/>
    </row>
    <row r="1063" spans="12:14" ht="15.75" x14ac:dyDescent="0.25">
      <c r="L1063" s="48"/>
      <c r="M1063" s="48"/>
      <c r="N1063" s="48"/>
    </row>
    <row r="1064" spans="12:14" ht="15.75" x14ac:dyDescent="0.25">
      <c r="L1064" s="48"/>
      <c r="M1064" s="48"/>
      <c r="N1064" s="48"/>
    </row>
    <row r="1065" spans="12:14" ht="15.75" x14ac:dyDescent="0.25">
      <c r="L1065" s="48"/>
      <c r="M1065" s="48"/>
      <c r="N1065" s="48"/>
    </row>
    <row r="1066" spans="12:14" ht="15.75" x14ac:dyDescent="0.25">
      <c r="L1066" s="48"/>
      <c r="M1066" s="48"/>
      <c r="N1066" s="48"/>
    </row>
    <row r="1067" spans="12:14" ht="15.75" x14ac:dyDescent="0.25">
      <c r="L1067" s="48"/>
      <c r="M1067" s="48"/>
      <c r="N1067" s="48"/>
    </row>
    <row r="1068" spans="12:14" ht="15.75" x14ac:dyDescent="0.25">
      <c r="L1068" s="48"/>
      <c r="M1068" s="48"/>
      <c r="N1068" s="48"/>
    </row>
    <row r="1069" spans="12:14" ht="15.75" x14ac:dyDescent="0.25">
      <c r="L1069" s="48"/>
      <c r="M1069" s="48"/>
      <c r="N1069" s="48"/>
    </row>
    <row r="1070" spans="12:14" ht="15.75" x14ac:dyDescent="0.25">
      <c r="L1070" s="48"/>
      <c r="M1070" s="48"/>
      <c r="N1070" s="48"/>
    </row>
    <row r="1071" spans="12:14" ht="15.75" x14ac:dyDescent="0.25">
      <c r="L1071" s="48"/>
      <c r="M1071" s="48"/>
      <c r="N1071" s="48"/>
    </row>
    <row r="1072" spans="12:14" ht="15.75" x14ac:dyDescent="0.25">
      <c r="L1072" s="48"/>
      <c r="M1072" s="48"/>
      <c r="N1072" s="48"/>
    </row>
    <row r="1073" spans="12:14" ht="15.75" x14ac:dyDescent="0.25">
      <c r="L1073" s="48"/>
      <c r="M1073" s="48"/>
      <c r="N1073" s="48"/>
    </row>
    <row r="1074" spans="12:14" ht="15.75" x14ac:dyDescent="0.25">
      <c r="L1074" s="48"/>
      <c r="M1074" s="48"/>
      <c r="N1074" s="48"/>
    </row>
    <row r="1075" spans="12:14" ht="15.75" x14ac:dyDescent="0.25">
      <c r="L1075" s="48"/>
      <c r="M1075" s="48"/>
      <c r="N1075" s="48"/>
    </row>
    <row r="1076" spans="12:14" ht="15.75" x14ac:dyDescent="0.25">
      <c r="L1076" s="48"/>
      <c r="M1076" s="48"/>
      <c r="N1076" s="48"/>
    </row>
    <row r="1077" spans="12:14" ht="15.75" x14ac:dyDescent="0.25">
      <c r="L1077" s="48"/>
      <c r="M1077" s="48"/>
      <c r="N1077" s="48"/>
    </row>
    <row r="1078" spans="12:14" ht="15.75" x14ac:dyDescent="0.25">
      <c r="L1078" s="48"/>
      <c r="M1078" s="48"/>
      <c r="N1078" s="48"/>
    </row>
    <row r="1079" spans="12:14" ht="15.75" x14ac:dyDescent="0.25">
      <c r="L1079" s="48"/>
      <c r="M1079" s="48"/>
      <c r="N1079" s="48"/>
    </row>
    <row r="1080" spans="12:14" ht="15.75" x14ac:dyDescent="0.25">
      <c r="L1080" s="48"/>
      <c r="M1080" s="48"/>
      <c r="N1080" s="48"/>
    </row>
    <row r="1081" spans="12:14" ht="15.75" x14ac:dyDescent="0.25">
      <c r="L1081" s="48"/>
      <c r="M1081" s="48"/>
      <c r="N1081" s="48"/>
    </row>
    <row r="1082" spans="12:14" ht="15.75" x14ac:dyDescent="0.25">
      <c r="L1082" s="48"/>
      <c r="M1082" s="48"/>
      <c r="N1082" s="48"/>
    </row>
    <row r="1083" spans="12:14" ht="15.75" x14ac:dyDescent="0.25">
      <c r="L1083" s="48"/>
      <c r="M1083" s="48"/>
      <c r="N1083" s="48"/>
    </row>
    <row r="1084" spans="12:14" ht="15.75" x14ac:dyDescent="0.25">
      <c r="L1084" s="48"/>
      <c r="M1084" s="48"/>
      <c r="N1084" s="48"/>
    </row>
    <row r="1085" spans="12:14" ht="15.75" x14ac:dyDescent="0.25">
      <c r="L1085" s="48"/>
      <c r="M1085" s="48"/>
      <c r="N1085" s="48"/>
    </row>
    <row r="1086" spans="12:14" ht="15.75" x14ac:dyDescent="0.25">
      <c r="L1086" s="48"/>
      <c r="M1086" s="48"/>
      <c r="N1086" s="48"/>
    </row>
    <row r="1087" spans="12:14" ht="15.75" x14ac:dyDescent="0.25">
      <c r="L1087" s="48"/>
      <c r="M1087" s="48"/>
      <c r="N1087" s="48"/>
    </row>
    <row r="1088" spans="12:14" ht="15.75" x14ac:dyDescent="0.25">
      <c r="L1088" s="48"/>
      <c r="M1088" s="48"/>
      <c r="N1088" s="48"/>
    </row>
    <row r="1089" spans="12:14" ht="15.75" x14ac:dyDescent="0.25">
      <c r="L1089" s="48"/>
      <c r="M1089" s="48"/>
      <c r="N1089" s="48"/>
    </row>
    <row r="1090" spans="12:14" ht="15.75" x14ac:dyDescent="0.25">
      <c r="L1090" s="48"/>
      <c r="M1090" s="48"/>
      <c r="N1090" s="48"/>
    </row>
    <row r="1091" spans="12:14" ht="15.75" x14ac:dyDescent="0.25">
      <c r="L1091" s="48"/>
      <c r="M1091" s="48"/>
      <c r="N1091" s="48"/>
    </row>
    <row r="1092" spans="12:14" ht="15.75" x14ac:dyDescent="0.25">
      <c r="L1092" s="48"/>
      <c r="M1092" s="48"/>
      <c r="N1092" s="48"/>
    </row>
    <row r="1093" spans="12:14" ht="15.75" x14ac:dyDescent="0.25">
      <c r="L1093" s="48"/>
      <c r="M1093" s="48"/>
      <c r="N1093" s="48"/>
    </row>
    <row r="1094" spans="12:14" ht="15.75" x14ac:dyDescent="0.25">
      <c r="L1094" s="48"/>
      <c r="M1094" s="48"/>
      <c r="N1094" s="48"/>
    </row>
    <row r="1095" spans="12:14" ht="15.75" x14ac:dyDescent="0.25">
      <c r="L1095" s="48"/>
      <c r="M1095" s="48"/>
      <c r="N1095" s="48"/>
    </row>
    <row r="1096" spans="12:14" ht="15.75" x14ac:dyDescent="0.25">
      <c r="L1096" s="48"/>
      <c r="M1096" s="48"/>
      <c r="N1096" s="48"/>
    </row>
    <row r="1097" spans="12:14" ht="15.75" x14ac:dyDescent="0.25">
      <c r="L1097" s="48"/>
      <c r="M1097" s="48"/>
      <c r="N1097" s="48"/>
    </row>
    <row r="1098" spans="12:14" ht="15.75" x14ac:dyDescent="0.25">
      <c r="L1098" s="48"/>
      <c r="M1098" s="48"/>
      <c r="N1098" s="48"/>
    </row>
    <row r="1099" spans="12:14" ht="15.75" x14ac:dyDescent="0.25">
      <c r="L1099" s="48"/>
      <c r="M1099" s="48"/>
      <c r="N1099" s="48"/>
    </row>
    <row r="1100" spans="12:14" ht="15.75" x14ac:dyDescent="0.25">
      <c r="L1100" s="48"/>
      <c r="M1100" s="48"/>
      <c r="N1100" s="48"/>
    </row>
    <row r="1101" spans="12:14" ht="15.75" x14ac:dyDescent="0.25">
      <c r="L1101" s="48"/>
      <c r="M1101" s="48"/>
      <c r="N1101" s="48"/>
    </row>
    <row r="1102" spans="12:14" ht="15.75" x14ac:dyDescent="0.25">
      <c r="L1102" s="48"/>
      <c r="M1102" s="48"/>
      <c r="N1102" s="48"/>
    </row>
    <row r="1103" spans="12:14" ht="15.75" x14ac:dyDescent="0.25">
      <c r="L1103" s="48"/>
      <c r="M1103" s="48"/>
      <c r="N1103" s="48"/>
    </row>
    <row r="1104" spans="12:14" ht="15.75" x14ac:dyDescent="0.25">
      <c r="L1104" s="48"/>
      <c r="M1104" s="48"/>
      <c r="N1104" s="48"/>
    </row>
    <row r="1105" spans="12:14" ht="15.75" x14ac:dyDescent="0.25">
      <c r="L1105" s="48"/>
      <c r="M1105" s="48"/>
      <c r="N1105" s="48"/>
    </row>
    <row r="1106" spans="12:14" ht="15.75" x14ac:dyDescent="0.25">
      <c r="L1106" s="48"/>
      <c r="M1106" s="48"/>
      <c r="N1106" s="48"/>
    </row>
    <row r="1107" spans="12:14" ht="15.75" x14ac:dyDescent="0.25">
      <c r="L1107" s="48"/>
      <c r="M1107" s="48"/>
      <c r="N1107" s="48"/>
    </row>
    <row r="1108" spans="12:14" ht="15.75" x14ac:dyDescent="0.25">
      <c r="L1108" s="48"/>
      <c r="M1108" s="48"/>
      <c r="N1108" s="48"/>
    </row>
    <row r="1109" spans="12:14" ht="15.75" x14ac:dyDescent="0.25">
      <c r="L1109" s="48"/>
      <c r="M1109" s="48"/>
      <c r="N1109" s="48"/>
    </row>
    <row r="1110" spans="12:14" ht="15.75" x14ac:dyDescent="0.25">
      <c r="L1110" s="48"/>
      <c r="M1110" s="48"/>
      <c r="N1110" s="48"/>
    </row>
    <row r="1111" spans="12:14" ht="15.75" x14ac:dyDescent="0.25">
      <c r="L1111" s="48"/>
      <c r="M1111" s="48"/>
      <c r="N1111" s="48"/>
    </row>
    <row r="1112" spans="12:14" ht="15.75" x14ac:dyDescent="0.25">
      <c r="L1112" s="48"/>
      <c r="M1112" s="48"/>
      <c r="N1112" s="48"/>
    </row>
    <row r="1113" spans="12:14" ht="15.75" x14ac:dyDescent="0.25">
      <c r="L1113" s="48"/>
      <c r="M1113" s="48"/>
      <c r="N1113" s="48"/>
    </row>
    <row r="1114" spans="12:14" ht="15.75" x14ac:dyDescent="0.25">
      <c r="L1114" s="48"/>
      <c r="M1114" s="48"/>
      <c r="N1114" s="48"/>
    </row>
    <row r="1115" spans="12:14" ht="15.75" x14ac:dyDescent="0.25">
      <c r="L1115" s="48"/>
      <c r="M1115" s="48"/>
      <c r="N1115" s="48"/>
    </row>
    <row r="1116" spans="12:14" ht="15.75" x14ac:dyDescent="0.25">
      <c r="L1116" s="48"/>
      <c r="M1116" s="48"/>
      <c r="N1116" s="48"/>
    </row>
    <row r="1117" spans="12:14" ht="15.75" x14ac:dyDescent="0.25">
      <c r="L1117" s="48"/>
      <c r="M1117" s="48"/>
      <c r="N1117" s="48"/>
    </row>
    <row r="1118" spans="12:14" ht="15.75" x14ac:dyDescent="0.25">
      <c r="L1118" s="48"/>
      <c r="M1118" s="48"/>
      <c r="N1118" s="48"/>
    </row>
    <row r="1119" spans="12:14" ht="15.75" x14ac:dyDescent="0.25">
      <c r="L1119" s="48"/>
      <c r="M1119" s="48"/>
      <c r="N1119" s="48"/>
    </row>
    <row r="1120" spans="12:14" ht="15.75" x14ac:dyDescent="0.25">
      <c r="L1120" s="48"/>
      <c r="M1120" s="48"/>
      <c r="N1120" s="48"/>
    </row>
    <row r="1121" spans="12:14" ht="15.75" x14ac:dyDescent="0.25">
      <c r="L1121" s="48"/>
      <c r="M1121" s="48"/>
      <c r="N1121" s="48"/>
    </row>
    <row r="1122" spans="12:14" ht="15.75" x14ac:dyDescent="0.25">
      <c r="L1122" s="48"/>
      <c r="M1122" s="48"/>
      <c r="N1122" s="48"/>
    </row>
    <row r="1123" spans="12:14" ht="15.75" x14ac:dyDescent="0.25">
      <c r="L1123" s="48"/>
      <c r="M1123" s="48"/>
      <c r="N1123" s="48"/>
    </row>
    <row r="1124" spans="12:14" ht="15.75" x14ac:dyDescent="0.25">
      <c r="L1124" s="48"/>
      <c r="M1124" s="48"/>
      <c r="N1124" s="48"/>
    </row>
    <row r="1125" spans="12:14" ht="15.75" x14ac:dyDescent="0.25">
      <c r="L1125" s="48"/>
      <c r="M1125" s="48"/>
      <c r="N1125" s="48"/>
    </row>
    <row r="1126" spans="12:14" ht="15.75" x14ac:dyDescent="0.25">
      <c r="L1126" s="48"/>
      <c r="M1126" s="48"/>
      <c r="N1126" s="48"/>
    </row>
    <row r="1127" spans="12:14" ht="15.75" x14ac:dyDescent="0.25">
      <c r="L1127" s="48"/>
      <c r="M1127" s="48"/>
      <c r="N1127" s="48"/>
    </row>
    <row r="1128" spans="12:14" ht="15.75" x14ac:dyDescent="0.25">
      <c r="L1128" s="48"/>
      <c r="M1128" s="48"/>
      <c r="N1128" s="48"/>
    </row>
    <row r="1129" spans="12:14" ht="15.75" x14ac:dyDescent="0.25">
      <c r="L1129" s="48"/>
      <c r="M1129" s="48"/>
      <c r="N1129" s="48"/>
    </row>
    <row r="1130" spans="12:14" ht="15.75" x14ac:dyDescent="0.25">
      <c r="L1130" s="48"/>
      <c r="M1130" s="48"/>
      <c r="N1130" s="48"/>
    </row>
    <row r="1131" spans="12:14" ht="15.75" x14ac:dyDescent="0.25">
      <c r="L1131" s="48"/>
      <c r="M1131" s="48"/>
      <c r="N1131" s="48"/>
    </row>
    <row r="1132" spans="12:14" ht="15.75" x14ac:dyDescent="0.25">
      <c r="L1132" s="48"/>
      <c r="M1132" s="48"/>
      <c r="N1132" s="48"/>
    </row>
    <row r="1133" spans="12:14" ht="15.75" x14ac:dyDescent="0.25">
      <c r="L1133" s="48"/>
      <c r="M1133" s="48"/>
      <c r="N1133" s="48"/>
    </row>
    <row r="1134" spans="12:14" ht="15.75" x14ac:dyDescent="0.25">
      <c r="L1134" s="48"/>
      <c r="M1134" s="48"/>
      <c r="N1134" s="48"/>
    </row>
    <row r="1135" spans="12:14" ht="15.75" x14ac:dyDescent="0.25">
      <c r="L1135" s="48"/>
      <c r="M1135" s="48"/>
      <c r="N1135" s="48"/>
    </row>
    <row r="1136" spans="12:14" ht="15.75" x14ac:dyDescent="0.25">
      <c r="L1136" s="48"/>
      <c r="M1136" s="48"/>
      <c r="N1136" s="48"/>
    </row>
    <row r="1137" spans="12:14" ht="15.75" x14ac:dyDescent="0.25">
      <c r="L1137" s="48"/>
      <c r="M1137" s="48"/>
      <c r="N1137" s="48"/>
    </row>
    <row r="1138" spans="12:14" ht="15.75" x14ac:dyDescent="0.25">
      <c r="L1138" s="48"/>
      <c r="M1138" s="48"/>
      <c r="N1138" s="48"/>
    </row>
    <row r="1139" spans="12:14" ht="15.75" x14ac:dyDescent="0.25">
      <c r="L1139" s="48"/>
      <c r="M1139" s="48"/>
      <c r="N1139" s="48"/>
    </row>
    <row r="1140" spans="12:14" ht="15.75" x14ac:dyDescent="0.25">
      <c r="L1140" s="48"/>
      <c r="M1140" s="48"/>
      <c r="N1140" s="48"/>
    </row>
    <row r="1141" spans="12:14" ht="15.75" x14ac:dyDescent="0.25">
      <c r="L1141" s="48"/>
      <c r="M1141" s="48"/>
      <c r="N1141" s="48"/>
    </row>
    <row r="1142" spans="12:14" ht="15.75" x14ac:dyDescent="0.25">
      <c r="L1142" s="48"/>
      <c r="M1142" s="48"/>
      <c r="N1142" s="48"/>
    </row>
    <row r="1143" spans="12:14" ht="15.75" x14ac:dyDescent="0.25">
      <c r="L1143" s="48"/>
      <c r="M1143" s="48"/>
      <c r="N1143" s="48"/>
    </row>
    <row r="1144" spans="12:14" ht="15.75" x14ac:dyDescent="0.25">
      <c r="L1144" s="48"/>
      <c r="M1144" s="48"/>
      <c r="N1144" s="48"/>
    </row>
    <row r="1145" spans="12:14" ht="15.75" x14ac:dyDescent="0.25">
      <c r="L1145" s="48"/>
      <c r="M1145" s="48"/>
      <c r="N1145" s="48"/>
    </row>
    <row r="1146" spans="12:14" ht="15.75" x14ac:dyDescent="0.25">
      <c r="L1146" s="48"/>
      <c r="M1146" s="48"/>
      <c r="N1146" s="48"/>
    </row>
    <row r="1147" spans="12:14" ht="15.75" x14ac:dyDescent="0.25">
      <c r="L1147" s="48"/>
      <c r="M1147" s="48"/>
      <c r="N1147" s="48"/>
    </row>
    <row r="1148" spans="12:14" ht="15.75" x14ac:dyDescent="0.25">
      <c r="L1148" s="48"/>
      <c r="M1148" s="48"/>
      <c r="N1148" s="48"/>
    </row>
    <row r="1149" spans="12:14" ht="15.75" x14ac:dyDescent="0.25">
      <c r="L1149" s="48"/>
      <c r="M1149" s="48"/>
      <c r="N1149" s="48"/>
    </row>
    <row r="1150" spans="12:14" ht="15.75" x14ac:dyDescent="0.25">
      <c r="L1150" s="48"/>
      <c r="M1150" s="48"/>
      <c r="N1150" s="48"/>
    </row>
    <row r="1151" spans="12:14" ht="15.75" x14ac:dyDescent="0.25">
      <c r="L1151" s="48"/>
      <c r="M1151" s="48"/>
      <c r="N1151" s="48"/>
    </row>
    <row r="1152" spans="12:14" ht="15.75" x14ac:dyDescent="0.25">
      <c r="L1152" s="48"/>
      <c r="M1152" s="48"/>
      <c r="N1152" s="48"/>
    </row>
    <row r="1153" spans="12:14" ht="15.75" x14ac:dyDescent="0.25">
      <c r="L1153" s="48"/>
      <c r="M1153" s="48"/>
      <c r="N1153" s="48"/>
    </row>
    <row r="1154" spans="12:14" ht="15.75" x14ac:dyDescent="0.25">
      <c r="L1154" s="48"/>
      <c r="M1154" s="48"/>
      <c r="N1154" s="48"/>
    </row>
    <row r="1155" spans="12:14" ht="15.75" x14ac:dyDescent="0.25">
      <c r="L1155" s="48"/>
      <c r="M1155" s="48"/>
      <c r="N1155" s="48"/>
    </row>
    <row r="1156" spans="12:14" ht="15.75" x14ac:dyDescent="0.25">
      <c r="L1156" s="48"/>
      <c r="M1156" s="48"/>
      <c r="N1156" s="48"/>
    </row>
    <row r="1157" spans="12:14" ht="15.75" x14ac:dyDescent="0.25">
      <c r="L1157" s="48"/>
      <c r="M1157" s="48"/>
      <c r="N1157" s="48"/>
    </row>
    <row r="1158" spans="12:14" ht="15.75" x14ac:dyDescent="0.25">
      <c r="L1158" s="48"/>
      <c r="M1158" s="48"/>
      <c r="N1158" s="48"/>
    </row>
    <row r="1159" spans="12:14" ht="15.75" x14ac:dyDescent="0.25">
      <c r="L1159" s="48"/>
      <c r="M1159" s="48"/>
      <c r="N1159" s="48"/>
    </row>
    <row r="1160" spans="12:14" ht="15.75" x14ac:dyDescent="0.25">
      <c r="L1160" s="48"/>
      <c r="M1160" s="48"/>
      <c r="N1160" s="48"/>
    </row>
    <row r="1161" spans="12:14" ht="15.75" x14ac:dyDescent="0.25">
      <c r="L1161" s="48"/>
      <c r="M1161" s="48"/>
      <c r="N1161" s="48"/>
    </row>
    <row r="1162" spans="12:14" ht="15.75" x14ac:dyDescent="0.25">
      <c r="L1162" s="48"/>
      <c r="M1162" s="48"/>
      <c r="N1162" s="48"/>
    </row>
    <row r="1163" spans="12:14" ht="15.75" x14ac:dyDescent="0.25">
      <c r="L1163" s="48"/>
      <c r="M1163" s="48"/>
      <c r="N1163" s="48"/>
    </row>
    <row r="1164" spans="12:14" ht="15.75" x14ac:dyDescent="0.25">
      <c r="L1164" s="48"/>
      <c r="M1164" s="48"/>
      <c r="N1164" s="48"/>
    </row>
    <row r="1165" spans="12:14" ht="15.75" x14ac:dyDescent="0.25">
      <c r="L1165" s="48"/>
      <c r="M1165" s="48"/>
      <c r="N1165" s="48"/>
    </row>
    <row r="1166" spans="12:14" ht="15.75" x14ac:dyDescent="0.25">
      <c r="L1166" s="48"/>
      <c r="M1166" s="48"/>
      <c r="N1166" s="48"/>
    </row>
    <row r="1167" spans="12:14" ht="15.75" x14ac:dyDescent="0.25">
      <c r="L1167" s="48"/>
      <c r="M1167" s="48"/>
      <c r="N1167" s="48"/>
    </row>
    <row r="1168" spans="12:14" ht="15.75" x14ac:dyDescent="0.25">
      <c r="L1168" s="48"/>
      <c r="M1168" s="48"/>
      <c r="N1168" s="48"/>
    </row>
    <row r="1169" spans="12:14" ht="15.75" x14ac:dyDescent="0.25">
      <c r="L1169" s="48"/>
      <c r="M1169" s="48"/>
      <c r="N1169" s="48"/>
    </row>
    <row r="1170" spans="12:14" ht="15.75" x14ac:dyDescent="0.25">
      <c r="L1170" s="48"/>
      <c r="M1170" s="48"/>
      <c r="N1170" s="48"/>
    </row>
    <row r="1171" spans="12:14" ht="15.75" x14ac:dyDescent="0.25">
      <c r="L1171" s="48"/>
      <c r="M1171" s="48"/>
      <c r="N1171" s="48"/>
    </row>
    <row r="1172" spans="12:14" ht="15.75" x14ac:dyDescent="0.25">
      <c r="L1172" s="48"/>
      <c r="M1172" s="48"/>
      <c r="N1172" s="48"/>
    </row>
    <row r="1173" spans="12:14" ht="15.75" x14ac:dyDescent="0.25">
      <c r="L1173" s="48"/>
      <c r="M1173" s="48"/>
      <c r="N1173" s="48"/>
    </row>
    <row r="1174" spans="12:14" ht="15.75" x14ac:dyDescent="0.25">
      <c r="L1174" s="48"/>
      <c r="M1174" s="48"/>
      <c r="N1174" s="48"/>
    </row>
    <row r="1175" spans="12:14" ht="15.75" x14ac:dyDescent="0.25">
      <c r="L1175" s="48"/>
      <c r="M1175" s="48"/>
      <c r="N1175" s="48"/>
    </row>
    <row r="1176" spans="12:14" ht="15.75" x14ac:dyDescent="0.25">
      <c r="L1176" s="48"/>
      <c r="M1176" s="48"/>
      <c r="N1176" s="48"/>
    </row>
    <row r="1177" spans="12:14" ht="15.75" x14ac:dyDescent="0.25">
      <c r="L1177" s="48"/>
      <c r="M1177" s="48"/>
      <c r="N1177" s="48"/>
    </row>
    <row r="1178" spans="12:14" ht="15.75" x14ac:dyDescent="0.25">
      <c r="L1178" s="48"/>
      <c r="M1178" s="48"/>
      <c r="N1178" s="48"/>
    </row>
    <row r="1179" spans="12:14" ht="15.75" x14ac:dyDescent="0.25">
      <c r="L1179" s="48"/>
      <c r="M1179" s="48"/>
      <c r="N1179" s="48"/>
    </row>
    <row r="1180" spans="12:14" ht="15.75" x14ac:dyDescent="0.25">
      <c r="L1180" s="48"/>
      <c r="M1180" s="48"/>
      <c r="N1180" s="48"/>
    </row>
    <row r="1181" spans="12:14" ht="15.75" x14ac:dyDescent="0.25">
      <c r="L1181" s="48"/>
      <c r="M1181" s="48"/>
      <c r="N1181" s="48"/>
    </row>
    <row r="1182" spans="12:14" ht="15.75" x14ac:dyDescent="0.25">
      <c r="L1182" s="48"/>
      <c r="M1182" s="48"/>
      <c r="N1182" s="48"/>
    </row>
    <row r="1183" spans="12:14" ht="15.75" x14ac:dyDescent="0.25">
      <c r="L1183" s="48"/>
      <c r="M1183" s="48"/>
      <c r="N1183" s="48"/>
    </row>
    <row r="1184" spans="12:14" ht="15.75" x14ac:dyDescent="0.25">
      <c r="L1184" s="48"/>
      <c r="M1184" s="48"/>
      <c r="N1184" s="48"/>
    </row>
    <row r="1185" spans="12:14" ht="15.75" x14ac:dyDescent="0.25">
      <c r="L1185" s="48"/>
      <c r="M1185" s="48"/>
      <c r="N1185" s="48"/>
    </row>
    <row r="1186" spans="12:14" ht="15.75" x14ac:dyDescent="0.25">
      <c r="L1186" s="48"/>
      <c r="M1186" s="48"/>
      <c r="N1186" s="48"/>
    </row>
    <row r="1187" spans="12:14" ht="15.75" x14ac:dyDescent="0.25">
      <c r="L1187" s="48"/>
      <c r="M1187" s="48"/>
      <c r="N1187" s="48"/>
    </row>
    <row r="1188" spans="12:14" ht="15.75" x14ac:dyDescent="0.25">
      <c r="L1188" s="48"/>
      <c r="M1188" s="48"/>
      <c r="N1188" s="48"/>
    </row>
    <row r="1189" spans="12:14" ht="15.75" x14ac:dyDescent="0.25">
      <c r="L1189" s="48"/>
      <c r="M1189" s="48"/>
      <c r="N1189" s="48"/>
    </row>
    <row r="1190" spans="12:14" ht="15.75" x14ac:dyDescent="0.25">
      <c r="L1190" s="48"/>
      <c r="M1190" s="48"/>
      <c r="N1190" s="48"/>
    </row>
    <row r="1191" spans="12:14" ht="15.75" x14ac:dyDescent="0.25">
      <c r="L1191" s="48"/>
      <c r="M1191" s="48"/>
      <c r="N1191" s="48"/>
    </row>
    <row r="1192" spans="12:14" ht="15.75" x14ac:dyDescent="0.25">
      <c r="L1192" s="48"/>
      <c r="M1192" s="48"/>
      <c r="N1192" s="48"/>
    </row>
    <row r="1193" spans="12:14" ht="15.75" x14ac:dyDescent="0.25">
      <c r="L1193" s="48"/>
      <c r="M1193" s="48"/>
      <c r="N1193" s="48"/>
    </row>
    <row r="1194" spans="12:14" ht="15.75" x14ac:dyDescent="0.25">
      <c r="L1194" s="48"/>
      <c r="M1194" s="48"/>
      <c r="N1194" s="48"/>
    </row>
    <row r="1195" spans="12:14" ht="15.75" x14ac:dyDescent="0.25">
      <c r="L1195" s="48"/>
      <c r="M1195" s="48"/>
      <c r="N1195" s="48"/>
    </row>
    <row r="1196" spans="12:14" ht="15.75" x14ac:dyDescent="0.25">
      <c r="L1196" s="48"/>
      <c r="M1196" s="48"/>
      <c r="N1196" s="48"/>
    </row>
    <row r="1197" spans="12:14" ht="15.75" x14ac:dyDescent="0.25">
      <c r="L1197" s="48"/>
      <c r="M1197" s="48"/>
      <c r="N1197" s="48"/>
    </row>
    <row r="1198" spans="12:14" ht="15.75" x14ac:dyDescent="0.25">
      <c r="L1198" s="48"/>
      <c r="M1198" s="48"/>
      <c r="N1198" s="48"/>
    </row>
    <row r="1199" spans="12:14" ht="15.75" x14ac:dyDescent="0.25">
      <c r="L1199" s="48"/>
      <c r="M1199" s="48"/>
      <c r="N1199" s="48"/>
    </row>
    <row r="1200" spans="12:14" ht="15.75" x14ac:dyDescent="0.25">
      <c r="L1200" s="48"/>
      <c r="M1200" s="48"/>
      <c r="N1200" s="48"/>
    </row>
    <row r="1201" spans="12:14" ht="15.75" x14ac:dyDescent="0.25">
      <c r="L1201" s="48"/>
      <c r="M1201" s="48"/>
      <c r="N1201" s="48"/>
    </row>
    <row r="1202" spans="12:14" ht="15.75" x14ac:dyDescent="0.25">
      <c r="L1202" s="48"/>
      <c r="M1202" s="48"/>
      <c r="N1202" s="48"/>
    </row>
    <row r="1203" spans="12:14" ht="15.75" x14ac:dyDescent="0.25">
      <c r="L1203" s="48"/>
      <c r="M1203" s="48"/>
      <c r="N1203" s="48"/>
    </row>
    <row r="1204" spans="12:14" ht="15.75" x14ac:dyDescent="0.25">
      <c r="L1204" s="48"/>
      <c r="M1204" s="48"/>
      <c r="N1204" s="48"/>
    </row>
    <row r="1205" spans="12:14" ht="15.75" x14ac:dyDescent="0.25">
      <c r="L1205" s="48"/>
      <c r="M1205" s="48"/>
      <c r="N1205" s="48"/>
    </row>
    <row r="1206" spans="12:14" ht="15.75" x14ac:dyDescent="0.25">
      <c r="L1206" s="48"/>
      <c r="M1206" s="48"/>
      <c r="N1206" s="48"/>
    </row>
    <row r="1207" spans="12:14" ht="15.75" x14ac:dyDescent="0.25">
      <c r="L1207" s="48"/>
      <c r="M1207" s="48"/>
      <c r="N1207" s="48"/>
    </row>
    <row r="1208" spans="12:14" ht="15.75" x14ac:dyDescent="0.25">
      <c r="L1208" s="48"/>
      <c r="M1208" s="48"/>
      <c r="N1208" s="48"/>
    </row>
    <row r="1209" spans="12:14" ht="15.75" x14ac:dyDescent="0.25">
      <c r="L1209" s="48"/>
      <c r="M1209" s="48"/>
      <c r="N1209" s="48"/>
    </row>
    <row r="1210" spans="12:14" ht="15.75" x14ac:dyDescent="0.25">
      <c r="L1210" s="48"/>
      <c r="M1210" s="48"/>
      <c r="N1210" s="48"/>
    </row>
    <row r="1211" spans="12:14" ht="15.75" x14ac:dyDescent="0.25">
      <c r="L1211" s="48"/>
      <c r="M1211" s="48"/>
      <c r="N1211" s="48"/>
    </row>
    <row r="1212" spans="12:14" ht="15.75" x14ac:dyDescent="0.25">
      <c r="L1212" s="48"/>
      <c r="M1212" s="48"/>
      <c r="N1212" s="48"/>
    </row>
    <row r="1213" spans="12:14" ht="15.75" x14ac:dyDescent="0.25">
      <c r="L1213" s="48"/>
      <c r="M1213" s="48"/>
      <c r="N1213" s="48"/>
    </row>
    <row r="1214" spans="12:14" ht="15.75" x14ac:dyDescent="0.25">
      <c r="L1214" s="48"/>
      <c r="M1214" s="48"/>
      <c r="N1214" s="48"/>
    </row>
    <row r="1215" spans="12:14" ht="15.75" x14ac:dyDescent="0.25">
      <c r="L1215" s="48"/>
      <c r="M1215" s="48"/>
      <c r="N1215" s="48"/>
    </row>
    <row r="1216" spans="12:14" ht="15.75" x14ac:dyDescent="0.25">
      <c r="L1216" s="48"/>
      <c r="M1216" s="48"/>
      <c r="N1216" s="48"/>
    </row>
    <row r="1217" spans="12:14" ht="15.75" x14ac:dyDescent="0.25">
      <c r="L1217" s="48"/>
      <c r="M1217" s="48"/>
      <c r="N1217" s="48"/>
    </row>
    <row r="1218" spans="12:14" ht="15.75" x14ac:dyDescent="0.25">
      <c r="L1218" s="48"/>
      <c r="M1218" s="48"/>
      <c r="N1218" s="48"/>
    </row>
    <row r="1219" spans="12:14" ht="15.75" x14ac:dyDescent="0.25">
      <c r="L1219" s="48"/>
      <c r="M1219" s="48"/>
      <c r="N1219" s="48"/>
    </row>
    <row r="1220" spans="12:14" ht="15.75" x14ac:dyDescent="0.25">
      <c r="L1220" s="48"/>
      <c r="M1220" s="48"/>
      <c r="N1220" s="48"/>
    </row>
    <row r="1221" spans="12:14" ht="15.75" x14ac:dyDescent="0.25">
      <c r="L1221" s="48"/>
      <c r="M1221" s="48"/>
      <c r="N1221" s="48"/>
    </row>
    <row r="1222" spans="12:14" ht="15.75" x14ac:dyDescent="0.25">
      <c r="L1222" s="48"/>
      <c r="M1222" s="48"/>
      <c r="N1222" s="48"/>
    </row>
    <row r="1223" spans="12:14" ht="15.75" x14ac:dyDescent="0.25">
      <c r="L1223" s="48"/>
      <c r="M1223" s="48"/>
      <c r="N1223" s="48"/>
    </row>
    <row r="1224" spans="12:14" ht="15.75" x14ac:dyDescent="0.25">
      <c r="L1224" s="48"/>
      <c r="M1224" s="48"/>
      <c r="N1224" s="48"/>
    </row>
    <row r="1225" spans="12:14" ht="15.75" x14ac:dyDescent="0.25">
      <c r="L1225" s="48"/>
      <c r="M1225" s="48"/>
      <c r="N1225" s="48"/>
    </row>
    <row r="1226" spans="12:14" ht="15.75" x14ac:dyDescent="0.25">
      <c r="L1226" s="48"/>
      <c r="M1226" s="48"/>
      <c r="N1226" s="48"/>
    </row>
    <row r="1227" spans="12:14" ht="15.75" x14ac:dyDescent="0.25">
      <c r="L1227" s="48"/>
      <c r="M1227" s="48"/>
      <c r="N1227" s="48"/>
    </row>
    <row r="1228" spans="12:14" ht="15.75" x14ac:dyDescent="0.25">
      <c r="L1228" s="48"/>
      <c r="M1228" s="48"/>
      <c r="N1228" s="48"/>
    </row>
    <row r="1229" spans="12:14" ht="15.75" x14ac:dyDescent="0.25">
      <c r="L1229" s="48"/>
      <c r="M1229" s="48"/>
      <c r="N1229" s="48"/>
    </row>
    <row r="1230" spans="12:14" ht="15.75" x14ac:dyDescent="0.25">
      <c r="L1230" s="48"/>
      <c r="M1230" s="48"/>
      <c r="N1230" s="48"/>
    </row>
    <row r="1231" spans="12:14" ht="15.75" x14ac:dyDescent="0.25">
      <c r="L1231" s="48"/>
      <c r="M1231" s="48"/>
      <c r="N1231" s="48"/>
    </row>
    <row r="1232" spans="12:14" ht="15.75" x14ac:dyDescent="0.25">
      <c r="L1232" s="48"/>
      <c r="M1232" s="48"/>
      <c r="N1232" s="48"/>
    </row>
    <row r="1233" spans="12:14" ht="15.75" x14ac:dyDescent="0.25">
      <c r="L1233" s="48"/>
      <c r="M1233" s="48"/>
      <c r="N1233" s="48"/>
    </row>
    <row r="1234" spans="12:14" ht="15.75" x14ac:dyDescent="0.25">
      <c r="L1234" s="48"/>
      <c r="M1234" s="48"/>
      <c r="N1234" s="48"/>
    </row>
    <row r="1235" spans="12:14" ht="15.75" x14ac:dyDescent="0.25">
      <c r="L1235" s="48"/>
      <c r="M1235" s="48"/>
      <c r="N1235" s="48"/>
    </row>
    <row r="1236" spans="12:14" ht="15.75" x14ac:dyDescent="0.25">
      <c r="L1236" s="48"/>
      <c r="M1236" s="48"/>
      <c r="N1236" s="48"/>
    </row>
    <row r="1237" spans="12:14" ht="15.75" x14ac:dyDescent="0.25">
      <c r="L1237" s="48"/>
      <c r="M1237" s="48"/>
      <c r="N1237" s="48"/>
    </row>
    <row r="1238" spans="12:14" ht="15.75" x14ac:dyDescent="0.25">
      <c r="L1238" s="48"/>
      <c r="M1238" s="48"/>
      <c r="N1238" s="48"/>
    </row>
    <row r="1239" spans="12:14" ht="15.75" x14ac:dyDescent="0.25">
      <c r="L1239" s="48"/>
      <c r="M1239" s="48"/>
      <c r="N1239" s="48"/>
    </row>
    <row r="1240" spans="12:14" ht="15.75" x14ac:dyDescent="0.25">
      <c r="L1240" s="48"/>
      <c r="M1240" s="48"/>
      <c r="N1240" s="48"/>
    </row>
    <row r="1241" spans="12:14" ht="15.75" x14ac:dyDescent="0.25">
      <c r="L1241" s="48"/>
      <c r="M1241" s="48"/>
      <c r="N1241" s="48"/>
    </row>
    <row r="1242" spans="12:14" ht="15.75" x14ac:dyDescent="0.25">
      <c r="L1242" s="48"/>
      <c r="M1242" s="48"/>
      <c r="N1242" s="48"/>
    </row>
    <row r="1243" spans="12:14" ht="15.75" x14ac:dyDescent="0.25">
      <c r="L1243" s="48"/>
      <c r="M1243" s="48"/>
      <c r="N1243" s="48"/>
    </row>
    <row r="1244" spans="12:14" ht="15.75" x14ac:dyDescent="0.25">
      <c r="L1244" s="48"/>
      <c r="M1244" s="48"/>
      <c r="N1244" s="48"/>
    </row>
    <row r="1245" spans="12:14" ht="15.75" x14ac:dyDescent="0.25">
      <c r="L1245" s="48"/>
      <c r="M1245" s="48"/>
      <c r="N1245" s="48"/>
    </row>
    <row r="1246" spans="12:14" ht="15.75" x14ac:dyDescent="0.25">
      <c r="L1246" s="48"/>
      <c r="M1246" s="48"/>
      <c r="N1246" s="48"/>
    </row>
    <row r="1247" spans="12:14" ht="15.75" x14ac:dyDescent="0.25">
      <c r="L1247" s="48"/>
      <c r="M1247" s="48"/>
      <c r="N1247" s="48"/>
    </row>
    <row r="1248" spans="12:14" ht="15.75" x14ac:dyDescent="0.25">
      <c r="L1248" s="48"/>
      <c r="M1248" s="48"/>
      <c r="N1248" s="48"/>
    </row>
    <row r="1249" spans="12:14" ht="15.75" x14ac:dyDescent="0.25">
      <c r="L1249" s="48"/>
      <c r="M1249" s="48"/>
      <c r="N1249" s="48"/>
    </row>
    <row r="1250" spans="12:14" ht="15.75" x14ac:dyDescent="0.25">
      <c r="L1250" s="48"/>
      <c r="M1250" s="48"/>
      <c r="N1250" s="48"/>
    </row>
    <row r="1251" spans="12:14" ht="15.75" x14ac:dyDescent="0.25">
      <c r="L1251" s="48"/>
      <c r="M1251" s="48"/>
      <c r="N1251" s="48"/>
    </row>
    <row r="1252" spans="12:14" ht="15.75" x14ac:dyDescent="0.25">
      <c r="L1252" s="48"/>
      <c r="M1252" s="48"/>
      <c r="N1252" s="48"/>
    </row>
    <row r="1253" spans="12:14" ht="15.75" x14ac:dyDescent="0.25">
      <c r="L1253" s="48"/>
      <c r="M1253" s="48"/>
      <c r="N1253" s="48"/>
    </row>
    <row r="1254" spans="12:14" ht="15.75" x14ac:dyDescent="0.25">
      <c r="L1254" s="48"/>
      <c r="M1254" s="48"/>
      <c r="N1254" s="48"/>
    </row>
    <row r="1255" spans="12:14" ht="15.75" x14ac:dyDescent="0.25">
      <c r="L1255" s="48"/>
      <c r="M1255" s="48"/>
      <c r="N1255" s="48"/>
    </row>
    <row r="1256" spans="12:14" ht="15.75" x14ac:dyDescent="0.25">
      <c r="L1256" s="48"/>
      <c r="M1256" s="48"/>
      <c r="N1256" s="48"/>
    </row>
    <row r="1257" spans="12:14" ht="15.75" x14ac:dyDescent="0.25">
      <c r="L1257" s="48"/>
      <c r="M1257" s="48"/>
      <c r="N1257" s="48"/>
    </row>
    <row r="1258" spans="12:14" ht="15.75" x14ac:dyDescent="0.25">
      <c r="L1258" s="48"/>
      <c r="M1258" s="48"/>
      <c r="N1258" s="48"/>
    </row>
    <row r="1259" spans="12:14" ht="15.75" x14ac:dyDescent="0.25">
      <c r="L1259" s="48"/>
      <c r="M1259" s="48"/>
      <c r="N1259" s="48"/>
    </row>
    <row r="1260" spans="12:14" ht="15.75" x14ac:dyDescent="0.25">
      <c r="L1260" s="48"/>
      <c r="M1260" s="48"/>
      <c r="N1260" s="48"/>
    </row>
    <row r="1261" spans="12:14" ht="15.75" x14ac:dyDescent="0.25">
      <c r="L1261" s="48"/>
      <c r="M1261" s="48"/>
      <c r="N1261" s="48"/>
    </row>
    <row r="1262" spans="12:14" ht="15.75" x14ac:dyDescent="0.25">
      <c r="L1262" s="48"/>
      <c r="M1262" s="48"/>
      <c r="N1262" s="48"/>
    </row>
    <row r="1263" spans="12:14" ht="15.75" x14ac:dyDescent="0.25">
      <c r="L1263" s="48"/>
      <c r="M1263" s="48"/>
      <c r="N1263" s="48"/>
    </row>
    <row r="1264" spans="12:14" ht="15.75" x14ac:dyDescent="0.25">
      <c r="L1264" s="48"/>
      <c r="M1264" s="48"/>
      <c r="N1264" s="48"/>
    </row>
    <row r="1265" spans="12:14" ht="15.75" x14ac:dyDescent="0.25">
      <c r="L1265" s="48"/>
      <c r="M1265" s="48"/>
      <c r="N1265" s="48"/>
    </row>
    <row r="1266" spans="12:14" ht="15.75" x14ac:dyDescent="0.25">
      <c r="L1266" s="48"/>
      <c r="M1266" s="48"/>
      <c r="N1266" s="48"/>
    </row>
    <row r="1267" spans="12:14" ht="15.75" x14ac:dyDescent="0.25">
      <c r="L1267" s="48"/>
      <c r="M1267" s="48"/>
      <c r="N1267" s="48"/>
    </row>
    <row r="1268" spans="12:14" ht="15.75" x14ac:dyDescent="0.25">
      <c r="L1268" s="48"/>
      <c r="M1268" s="48"/>
      <c r="N1268" s="48"/>
    </row>
    <row r="1269" spans="12:14" ht="15.75" x14ac:dyDescent="0.25">
      <c r="L1269" s="48"/>
      <c r="M1269" s="48"/>
      <c r="N1269" s="48"/>
    </row>
    <row r="1270" spans="12:14" ht="15.75" x14ac:dyDescent="0.25">
      <c r="L1270" s="48"/>
      <c r="M1270" s="48"/>
      <c r="N1270" s="48"/>
    </row>
    <row r="1271" spans="12:14" ht="15.75" x14ac:dyDescent="0.25">
      <c r="L1271" s="48"/>
      <c r="M1271" s="48"/>
      <c r="N1271" s="48"/>
    </row>
    <row r="1272" spans="12:14" ht="15.75" x14ac:dyDescent="0.25">
      <c r="L1272" s="48"/>
      <c r="M1272" s="48"/>
      <c r="N1272" s="48"/>
    </row>
    <row r="1273" spans="12:14" ht="15.75" x14ac:dyDescent="0.25">
      <c r="L1273" s="48"/>
      <c r="M1273" s="48"/>
      <c r="N1273" s="48"/>
    </row>
    <row r="1274" spans="12:14" ht="15.75" x14ac:dyDescent="0.25">
      <c r="L1274" s="48"/>
      <c r="M1274" s="48"/>
      <c r="N1274" s="48"/>
    </row>
    <row r="1275" spans="12:14" ht="15.75" x14ac:dyDescent="0.25">
      <c r="L1275" s="48"/>
      <c r="M1275" s="48"/>
      <c r="N1275" s="48"/>
    </row>
    <row r="1276" spans="12:14" ht="15.75" x14ac:dyDescent="0.25">
      <c r="L1276" s="48"/>
      <c r="M1276" s="48"/>
      <c r="N1276" s="48"/>
    </row>
    <row r="1277" spans="12:14" ht="15.75" x14ac:dyDescent="0.25">
      <c r="L1277" s="48"/>
      <c r="M1277" s="48"/>
      <c r="N1277" s="48"/>
    </row>
    <row r="1278" spans="12:14" ht="15.75" x14ac:dyDescent="0.25">
      <c r="L1278" s="48"/>
      <c r="M1278" s="48"/>
      <c r="N1278" s="48"/>
    </row>
    <row r="1279" spans="12:14" ht="15.75" x14ac:dyDescent="0.25">
      <c r="L1279" s="48"/>
      <c r="M1279" s="48"/>
      <c r="N1279" s="48"/>
    </row>
    <row r="1280" spans="12:14" ht="15.75" x14ac:dyDescent="0.25">
      <c r="L1280" s="48"/>
      <c r="M1280" s="48"/>
      <c r="N1280" s="48"/>
    </row>
    <row r="1281" spans="12:14" ht="15.75" x14ac:dyDescent="0.25">
      <c r="L1281" s="48"/>
      <c r="M1281" s="48"/>
      <c r="N1281" s="48"/>
    </row>
    <row r="1282" spans="12:14" ht="15.75" x14ac:dyDescent="0.25">
      <c r="L1282" s="48"/>
      <c r="M1282" s="48"/>
      <c r="N1282" s="48"/>
    </row>
    <row r="1283" spans="12:14" ht="15.75" x14ac:dyDescent="0.25">
      <c r="L1283" s="48"/>
      <c r="M1283" s="48"/>
      <c r="N1283" s="48"/>
    </row>
    <row r="1284" spans="12:14" ht="15.75" x14ac:dyDescent="0.25">
      <c r="L1284" s="48"/>
      <c r="M1284" s="48"/>
      <c r="N1284" s="48"/>
    </row>
    <row r="1285" spans="12:14" ht="15.75" x14ac:dyDescent="0.25">
      <c r="L1285" s="48"/>
      <c r="M1285" s="48"/>
      <c r="N1285" s="48"/>
    </row>
    <row r="1286" spans="12:14" ht="15.75" x14ac:dyDescent="0.25">
      <c r="L1286" s="48"/>
      <c r="M1286" s="48"/>
      <c r="N1286" s="48"/>
    </row>
    <row r="1287" spans="12:14" ht="15.75" x14ac:dyDescent="0.25">
      <c r="L1287" s="48"/>
      <c r="M1287" s="48"/>
      <c r="N1287" s="48"/>
    </row>
    <row r="1288" spans="12:14" ht="15.75" x14ac:dyDescent="0.25">
      <c r="L1288" s="48"/>
      <c r="M1288" s="48"/>
      <c r="N1288" s="48"/>
    </row>
    <row r="1289" spans="12:14" ht="15.75" x14ac:dyDescent="0.25">
      <c r="L1289" s="48"/>
      <c r="M1289" s="48"/>
      <c r="N1289" s="48"/>
    </row>
    <row r="1290" spans="12:14" ht="15.75" x14ac:dyDescent="0.25">
      <c r="L1290" s="48"/>
      <c r="M1290" s="48"/>
      <c r="N1290" s="48"/>
    </row>
    <row r="1291" spans="12:14" ht="15.75" x14ac:dyDescent="0.25">
      <c r="L1291" s="48"/>
      <c r="M1291" s="48"/>
      <c r="N1291" s="48"/>
    </row>
    <row r="1292" spans="12:14" ht="15.75" x14ac:dyDescent="0.25">
      <c r="L1292" s="48"/>
      <c r="M1292" s="48"/>
      <c r="N1292" s="48"/>
    </row>
    <row r="1293" spans="12:14" ht="15.75" x14ac:dyDescent="0.25">
      <c r="L1293" s="48"/>
      <c r="M1293" s="48"/>
      <c r="N1293" s="48"/>
    </row>
    <row r="1294" spans="12:14" ht="15.75" x14ac:dyDescent="0.25">
      <c r="L1294" s="48"/>
      <c r="M1294" s="48"/>
      <c r="N1294" s="48"/>
    </row>
    <row r="1295" spans="12:14" ht="15.75" x14ac:dyDescent="0.25">
      <c r="L1295" s="48"/>
      <c r="M1295" s="48"/>
      <c r="N1295" s="48"/>
    </row>
    <row r="1296" spans="12:14" ht="15.75" x14ac:dyDescent="0.25">
      <c r="L1296" s="48"/>
      <c r="M1296" s="48"/>
      <c r="N1296" s="48"/>
    </row>
    <row r="1297" spans="12:14" ht="15.75" x14ac:dyDescent="0.25">
      <c r="L1297" s="48"/>
      <c r="M1297" s="48"/>
      <c r="N1297" s="48"/>
    </row>
    <row r="1298" spans="12:14" ht="15.75" x14ac:dyDescent="0.25">
      <c r="L1298" s="48"/>
      <c r="M1298" s="48"/>
      <c r="N1298" s="48"/>
    </row>
    <row r="1299" spans="12:14" ht="15.75" x14ac:dyDescent="0.25">
      <c r="L1299" s="48"/>
      <c r="M1299" s="48"/>
      <c r="N1299" s="48"/>
    </row>
    <row r="1300" spans="12:14" ht="15.75" x14ac:dyDescent="0.25">
      <c r="L1300" s="48"/>
      <c r="M1300" s="48"/>
      <c r="N1300" s="48"/>
    </row>
    <row r="1301" spans="12:14" ht="15.75" x14ac:dyDescent="0.25">
      <c r="L1301" s="48"/>
      <c r="M1301" s="48"/>
      <c r="N1301" s="48"/>
    </row>
    <row r="1302" spans="12:14" ht="15.75" x14ac:dyDescent="0.25">
      <c r="L1302" s="48"/>
      <c r="M1302" s="48"/>
      <c r="N1302" s="48"/>
    </row>
    <row r="1303" spans="12:14" ht="15.75" x14ac:dyDescent="0.25">
      <c r="L1303" s="48"/>
      <c r="M1303" s="48"/>
      <c r="N1303" s="48"/>
    </row>
    <row r="1304" spans="12:14" ht="15.75" x14ac:dyDescent="0.25">
      <c r="L1304" s="48"/>
      <c r="M1304" s="48"/>
      <c r="N1304" s="48"/>
    </row>
    <row r="1305" spans="12:14" ht="15.75" x14ac:dyDescent="0.25">
      <c r="L1305" s="48"/>
      <c r="M1305" s="48"/>
      <c r="N1305" s="48"/>
    </row>
    <row r="1306" spans="12:14" ht="15.75" x14ac:dyDescent="0.25">
      <c r="L1306" s="48"/>
      <c r="M1306" s="48"/>
      <c r="N1306" s="48"/>
    </row>
    <row r="1307" spans="12:14" ht="15.75" x14ac:dyDescent="0.25">
      <c r="L1307" s="48"/>
      <c r="M1307" s="48"/>
      <c r="N1307" s="48"/>
    </row>
    <row r="1308" spans="12:14" ht="15.75" x14ac:dyDescent="0.25">
      <c r="L1308" s="48"/>
      <c r="M1308" s="48"/>
      <c r="N1308" s="48"/>
    </row>
    <row r="1309" spans="12:14" ht="15.75" x14ac:dyDescent="0.25">
      <c r="L1309" s="48"/>
      <c r="M1309" s="48"/>
      <c r="N1309" s="48"/>
    </row>
    <row r="1310" spans="12:14" ht="15.75" x14ac:dyDescent="0.25">
      <c r="L1310" s="48"/>
      <c r="M1310" s="48"/>
      <c r="N1310" s="48"/>
    </row>
    <row r="1311" spans="12:14" ht="15.75" x14ac:dyDescent="0.25">
      <c r="L1311" s="48"/>
      <c r="M1311" s="48"/>
      <c r="N1311" s="48"/>
    </row>
    <row r="1312" spans="12:14" ht="15.75" x14ac:dyDescent="0.25">
      <c r="L1312" s="48"/>
      <c r="M1312" s="48"/>
      <c r="N1312" s="48"/>
    </row>
    <row r="1313" spans="12:14" ht="15.75" x14ac:dyDescent="0.25">
      <c r="L1313" s="48"/>
      <c r="M1313" s="48"/>
      <c r="N1313" s="48"/>
    </row>
    <row r="1314" spans="12:14" ht="15.75" x14ac:dyDescent="0.25">
      <c r="L1314" s="48"/>
      <c r="M1314" s="48"/>
      <c r="N1314" s="48"/>
    </row>
    <row r="1315" spans="12:14" ht="15.75" x14ac:dyDescent="0.25">
      <c r="L1315" s="48"/>
      <c r="M1315" s="48"/>
      <c r="N1315" s="48"/>
    </row>
    <row r="1316" spans="12:14" ht="15.75" x14ac:dyDescent="0.25">
      <c r="L1316" s="48"/>
      <c r="M1316" s="48"/>
      <c r="N1316" s="48"/>
    </row>
    <row r="1317" spans="12:14" ht="15.75" x14ac:dyDescent="0.25">
      <c r="L1317" s="48"/>
      <c r="M1317" s="48"/>
      <c r="N1317" s="48"/>
    </row>
    <row r="1318" spans="12:14" ht="15.75" x14ac:dyDescent="0.25">
      <c r="L1318" s="48"/>
      <c r="M1318" s="48"/>
      <c r="N1318" s="48"/>
    </row>
    <row r="1319" spans="12:14" ht="15.75" x14ac:dyDescent="0.25">
      <c r="L1319" s="48"/>
      <c r="M1319" s="48"/>
      <c r="N1319" s="48"/>
    </row>
    <row r="1320" spans="12:14" ht="15.75" x14ac:dyDescent="0.25">
      <c r="L1320" s="48"/>
      <c r="M1320" s="48"/>
      <c r="N1320" s="48"/>
    </row>
    <row r="1321" spans="12:14" ht="15.75" x14ac:dyDescent="0.25">
      <c r="L1321" s="48"/>
      <c r="M1321" s="48"/>
      <c r="N1321" s="48"/>
    </row>
    <row r="1322" spans="12:14" ht="15.75" x14ac:dyDescent="0.25">
      <c r="L1322" s="48"/>
      <c r="M1322" s="48"/>
      <c r="N1322" s="48"/>
    </row>
    <row r="1323" spans="12:14" ht="15.75" x14ac:dyDescent="0.25">
      <c r="L1323" s="48"/>
      <c r="M1323" s="48"/>
      <c r="N1323" s="48"/>
    </row>
    <row r="1324" spans="12:14" ht="15.75" x14ac:dyDescent="0.25">
      <c r="L1324" s="48"/>
      <c r="M1324" s="48"/>
      <c r="N1324" s="48"/>
    </row>
    <row r="1325" spans="12:14" ht="15.75" x14ac:dyDescent="0.25">
      <c r="L1325" s="48"/>
      <c r="M1325" s="48"/>
      <c r="N1325" s="48"/>
    </row>
    <row r="1326" spans="12:14" ht="15.75" x14ac:dyDescent="0.25">
      <c r="L1326" s="48"/>
      <c r="M1326" s="48"/>
      <c r="N1326" s="48"/>
    </row>
    <row r="1327" spans="12:14" ht="15.75" x14ac:dyDescent="0.25">
      <c r="L1327" s="48"/>
      <c r="M1327" s="48"/>
      <c r="N1327" s="48"/>
    </row>
    <row r="1328" spans="12:14" ht="15.75" x14ac:dyDescent="0.25">
      <c r="L1328" s="48"/>
      <c r="M1328" s="48"/>
      <c r="N1328" s="48"/>
    </row>
    <row r="1329" spans="12:14" ht="15.75" x14ac:dyDescent="0.25">
      <c r="L1329" s="48"/>
      <c r="M1329" s="48"/>
      <c r="N1329" s="48"/>
    </row>
    <row r="1330" spans="12:14" ht="15.75" x14ac:dyDescent="0.25">
      <c r="L1330" s="48"/>
      <c r="M1330" s="48"/>
      <c r="N1330" s="48"/>
    </row>
    <row r="1331" spans="12:14" ht="15.75" x14ac:dyDescent="0.25">
      <c r="L1331" s="48"/>
      <c r="M1331" s="48"/>
      <c r="N1331" s="48"/>
    </row>
    <row r="1332" spans="12:14" ht="15.75" x14ac:dyDescent="0.25">
      <c r="L1332" s="48"/>
      <c r="M1332" s="48"/>
      <c r="N1332" s="48"/>
    </row>
    <row r="1333" spans="12:14" ht="15.75" x14ac:dyDescent="0.25">
      <c r="L1333" s="48"/>
      <c r="M1333" s="48"/>
      <c r="N1333" s="48"/>
    </row>
    <row r="1334" spans="12:14" ht="15.75" x14ac:dyDescent="0.25">
      <c r="L1334" s="48"/>
      <c r="M1334" s="48"/>
      <c r="N1334" s="48"/>
    </row>
    <row r="1335" spans="12:14" ht="15.75" x14ac:dyDescent="0.25">
      <c r="L1335" s="48"/>
      <c r="M1335" s="48"/>
      <c r="N1335" s="48"/>
    </row>
    <row r="1336" spans="12:14" ht="15.75" x14ac:dyDescent="0.25">
      <c r="L1336" s="48"/>
      <c r="M1336" s="48"/>
      <c r="N1336" s="48"/>
    </row>
    <row r="1337" spans="12:14" ht="15.75" x14ac:dyDescent="0.25">
      <c r="L1337" s="48"/>
      <c r="M1337" s="48"/>
      <c r="N1337" s="48"/>
    </row>
    <row r="1338" spans="12:14" ht="15.75" x14ac:dyDescent="0.25">
      <c r="L1338" s="48"/>
      <c r="M1338" s="48"/>
      <c r="N1338" s="48"/>
    </row>
    <row r="1339" spans="12:14" ht="15.75" x14ac:dyDescent="0.25">
      <c r="L1339" s="48"/>
      <c r="M1339" s="48"/>
      <c r="N1339" s="48"/>
    </row>
    <row r="1340" spans="12:14" ht="15.75" x14ac:dyDescent="0.25">
      <c r="L1340" s="48"/>
      <c r="M1340" s="48"/>
      <c r="N1340" s="48"/>
    </row>
    <row r="1341" spans="12:14" ht="15.75" x14ac:dyDescent="0.25">
      <c r="L1341" s="48"/>
      <c r="M1341" s="48"/>
      <c r="N1341" s="48"/>
    </row>
    <row r="1342" spans="12:14" ht="15.75" x14ac:dyDescent="0.25">
      <c r="L1342" s="48"/>
      <c r="M1342" s="48"/>
      <c r="N1342" s="48"/>
    </row>
    <row r="1343" spans="12:14" ht="15.75" x14ac:dyDescent="0.25">
      <c r="L1343" s="48"/>
      <c r="M1343" s="48"/>
      <c r="N1343" s="48"/>
    </row>
    <row r="1344" spans="12:14" ht="15.75" x14ac:dyDescent="0.25">
      <c r="L1344" s="48"/>
      <c r="M1344" s="48"/>
      <c r="N1344" s="48"/>
    </row>
    <row r="1345" spans="12:14" ht="15.75" x14ac:dyDescent="0.25">
      <c r="L1345" s="48"/>
      <c r="M1345" s="48"/>
      <c r="N1345" s="48"/>
    </row>
    <row r="1346" spans="12:14" ht="15.75" x14ac:dyDescent="0.25">
      <c r="L1346" s="48"/>
      <c r="M1346" s="48"/>
      <c r="N1346" s="48"/>
    </row>
    <row r="1347" spans="12:14" ht="15.75" x14ac:dyDescent="0.25">
      <c r="L1347" s="48"/>
      <c r="M1347" s="48"/>
      <c r="N1347" s="48"/>
    </row>
    <row r="1348" spans="12:14" ht="15.75" x14ac:dyDescent="0.25">
      <c r="L1348" s="48"/>
      <c r="M1348" s="48"/>
      <c r="N1348" s="48"/>
    </row>
    <row r="1349" spans="12:14" ht="15.75" x14ac:dyDescent="0.25">
      <c r="L1349" s="48"/>
      <c r="M1349" s="48"/>
      <c r="N1349" s="48"/>
    </row>
    <row r="1350" spans="12:14" ht="15.75" x14ac:dyDescent="0.25">
      <c r="L1350" s="48"/>
      <c r="M1350" s="48"/>
      <c r="N1350" s="48"/>
    </row>
    <row r="1351" spans="12:14" ht="15.75" x14ac:dyDescent="0.25">
      <c r="L1351" s="48"/>
      <c r="M1351" s="48"/>
      <c r="N1351" s="48"/>
    </row>
    <row r="1352" spans="12:14" ht="15.75" x14ac:dyDescent="0.25">
      <c r="L1352" s="48"/>
      <c r="M1352" s="48"/>
      <c r="N1352" s="48"/>
    </row>
    <row r="1353" spans="12:14" ht="15.75" x14ac:dyDescent="0.25">
      <c r="L1353" s="48"/>
      <c r="M1353" s="48"/>
      <c r="N1353" s="48"/>
    </row>
    <row r="1354" spans="12:14" ht="15.75" x14ac:dyDescent="0.25">
      <c r="L1354" s="48"/>
      <c r="M1354" s="48"/>
      <c r="N1354" s="48"/>
    </row>
    <row r="1355" spans="12:14" ht="15.75" x14ac:dyDescent="0.25">
      <c r="L1355" s="48"/>
      <c r="M1355" s="48"/>
      <c r="N1355" s="48"/>
    </row>
    <row r="1356" spans="12:14" ht="15.75" x14ac:dyDescent="0.25">
      <c r="L1356" s="48"/>
      <c r="M1356" s="48"/>
      <c r="N1356" s="48"/>
    </row>
    <row r="1357" spans="12:14" ht="15.75" x14ac:dyDescent="0.25">
      <c r="L1357" s="48"/>
      <c r="M1357" s="48"/>
      <c r="N1357" s="48"/>
    </row>
    <row r="1358" spans="12:14" ht="15.75" x14ac:dyDescent="0.25">
      <c r="L1358" s="48"/>
      <c r="M1358" s="48"/>
      <c r="N1358" s="48"/>
    </row>
    <row r="1359" spans="12:14" ht="15.75" x14ac:dyDescent="0.25">
      <c r="L1359" s="48"/>
      <c r="M1359" s="48"/>
      <c r="N1359" s="48"/>
    </row>
    <row r="1360" spans="12:14" ht="15.75" x14ac:dyDescent="0.25">
      <c r="L1360" s="48"/>
      <c r="M1360" s="48"/>
      <c r="N1360" s="48"/>
    </row>
    <row r="1361" spans="12:14" ht="15.75" x14ac:dyDescent="0.25">
      <c r="L1361" s="48"/>
      <c r="M1361" s="48"/>
      <c r="N1361" s="48"/>
    </row>
    <row r="1362" spans="12:14" ht="15.75" x14ac:dyDescent="0.25">
      <c r="L1362" s="48"/>
      <c r="M1362" s="48"/>
      <c r="N1362" s="48"/>
    </row>
    <row r="1363" spans="12:14" ht="15.75" x14ac:dyDescent="0.25">
      <c r="L1363" s="48"/>
      <c r="M1363" s="48"/>
      <c r="N1363" s="48"/>
    </row>
    <row r="1364" spans="12:14" ht="15.75" x14ac:dyDescent="0.25">
      <c r="L1364" s="48"/>
      <c r="M1364" s="48"/>
      <c r="N1364" s="48"/>
    </row>
    <row r="1365" spans="12:14" ht="15.75" x14ac:dyDescent="0.25">
      <c r="L1365" s="48"/>
      <c r="M1365" s="48"/>
      <c r="N1365" s="48"/>
    </row>
    <row r="1366" spans="12:14" ht="15.75" x14ac:dyDescent="0.25">
      <c r="L1366" s="48"/>
      <c r="M1366" s="48"/>
      <c r="N1366" s="48"/>
    </row>
    <row r="1367" spans="12:14" ht="15.75" x14ac:dyDescent="0.25">
      <c r="L1367" s="48"/>
      <c r="M1367" s="48"/>
      <c r="N1367" s="48"/>
    </row>
    <row r="1368" spans="12:14" ht="15.75" x14ac:dyDescent="0.25">
      <c r="L1368" s="48"/>
      <c r="M1368" s="48"/>
      <c r="N1368" s="48"/>
    </row>
    <row r="1369" spans="12:14" ht="15.75" x14ac:dyDescent="0.25">
      <c r="L1369" s="48"/>
      <c r="M1369" s="48"/>
      <c r="N1369" s="48"/>
    </row>
    <row r="1370" spans="12:14" ht="15.75" x14ac:dyDescent="0.25">
      <c r="L1370" s="48"/>
      <c r="M1370" s="48"/>
      <c r="N1370" s="48"/>
    </row>
    <row r="1371" spans="12:14" ht="15.75" x14ac:dyDescent="0.25">
      <c r="L1371" s="48"/>
      <c r="M1371" s="48"/>
      <c r="N1371" s="48"/>
    </row>
    <row r="1372" spans="12:14" ht="15.75" x14ac:dyDescent="0.25">
      <c r="L1372" s="48"/>
      <c r="M1372" s="48"/>
      <c r="N1372" s="48"/>
    </row>
    <row r="1373" spans="12:14" ht="15.75" x14ac:dyDescent="0.25">
      <c r="L1373" s="48"/>
      <c r="M1373" s="48"/>
      <c r="N1373" s="48"/>
    </row>
    <row r="1374" spans="12:14" ht="15.75" x14ac:dyDescent="0.25">
      <c r="L1374" s="48"/>
      <c r="M1374" s="48"/>
      <c r="N1374" s="48"/>
    </row>
    <row r="1375" spans="12:14" ht="15.75" x14ac:dyDescent="0.25">
      <c r="L1375" s="48"/>
      <c r="M1375" s="48"/>
      <c r="N1375" s="48"/>
    </row>
    <row r="1376" spans="12:14" ht="15.75" x14ac:dyDescent="0.25">
      <c r="L1376" s="48"/>
      <c r="M1376" s="48"/>
      <c r="N1376" s="48"/>
    </row>
    <row r="1377" spans="12:14" ht="15.75" x14ac:dyDescent="0.25">
      <c r="L1377" s="48"/>
      <c r="M1377" s="48"/>
      <c r="N1377" s="48"/>
    </row>
    <row r="1378" spans="12:14" ht="15.75" x14ac:dyDescent="0.25">
      <c r="L1378" s="48"/>
      <c r="M1378" s="48"/>
      <c r="N1378" s="48"/>
    </row>
    <row r="1379" spans="12:14" ht="15.75" x14ac:dyDescent="0.25">
      <c r="L1379" s="48"/>
      <c r="M1379" s="48"/>
      <c r="N1379" s="48"/>
    </row>
    <row r="1380" spans="12:14" ht="15.75" x14ac:dyDescent="0.25">
      <c r="L1380" s="48"/>
      <c r="M1380" s="48"/>
      <c r="N1380" s="48"/>
    </row>
    <row r="1381" spans="12:14" ht="15.75" x14ac:dyDescent="0.25">
      <c r="L1381" s="48"/>
      <c r="M1381" s="48"/>
      <c r="N1381" s="48"/>
    </row>
    <row r="1382" spans="12:14" ht="15.75" x14ac:dyDescent="0.25">
      <c r="L1382" s="48"/>
      <c r="M1382" s="48"/>
      <c r="N1382" s="48"/>
    </row>
    <row r="1383" spans="12:14" ht="15.75" x14ac:dyDescent="0.25">
      <c r="L1383" s="48"/>
      <c r="M1383" s="48"/>
      <c r="N1383" s="48"/>
    </row>
    <row r="1384" spans="12:14" ht="15.75" x14ac:dyDescent="0.25">
      <c r="L1384" s="48"/>
      <c r="M1384" s="48"/>
      <c r="N1384" s="48"/>
    </row>
    <row r="1385" spans="12:14" ht="15.75" x14ac:dyDescent="0.25">
      <c r="L1385" s="48"/>
      <c r="M1385" s="48"/>
      <c r="N1385" s="48"/>
    </row>
    <row r="1386" spans="12:14" ht="15.75" x14ac:dyDescent="0.25">
      <c r="L1386" s="48"/>
      <c r="M1386" s="48"/>
      <c r="N1386" s="48"/>
    </row>
    <row r="1387" spans="12:14" ht="15.75" x14ac:dyDescent="0.25">
      <c r="L1387" s="48"/>
      <c r="M1387" s="48"/>
      <c r="N1387" s="48"/>
    </row>
    <row r="1388" spans="12:14" ht="15.75" x14ac:dyDescent="0.25">
      <c r="L1388" s="48"/>
      <c r="M1388" s="48"/>
      <c r="N1388" s="48"/>
    </row>
    <row r="1389" spans="12:14" ht="15.75" x14ac:dyDescent="0.25">
      <c r="L1389" s="48"/>
      <c r="M1389" s="48"/>
      <c r="N1389" s="48"/>
    </row>
    <row r="1390" spans="12:14" ht="15.75" x14ac:dyDescent="0.25">
      <c r="L1390" s="48"/>
      <c r="M1390" s="48"/>
      <c r="N1390" s="48"/>
    </row>
    <row r="1391" spans="12:14" ht="15.75" x14ac:dyDescent="0.25">
      <c r="L1391" s="48"/>
      <c r="M1391" s="48"/>
      <c r="N1391" s="48"/>
    </row>
    <row r="1392" spans="12:14" ht="15.75" x14ac:dyDescent="0.25">
      <c r="L1392" s="48"/>
      <c r="M1392" s="48"/>
      <c r="N1392" s="48"/>
    </row>
    <row r="1393" spans="12:14" ht="15.75" x14ac:dyDescent="0.25">
      <c r="L1393" s="48"/>
      <c r="M1393" s="48"/>
      <c r="N1393" s="48"/>
    </row>
    <row r="1394" spans="12:14" ht="15.75" x14ac:dyDescent="0.25">
      <c r="L1394" s="48"/>
      <c r="M1394" s="48"/>
      <c r="N1394" s="48"/>
    </row>
    <row r="1395" spans="12:14" ht="15.75" x14ac:dyDescent="0.25">
      <c r="L1395" s="48"/>
      <c r="M1395" s="48"/>
      <c r="N1395" s="48"/>
    </row>
    <row r="1396" spans="12:14" ht="15.75" x14ac:dyDescent="0.25">
      <c r="L1396" s="48"/>
      <c r="M1396" s="48"/>
      <c r="N1396" s="48"/>
    </row>
    <row r="1397" spans="12:14" ht="15.75" x14ac:dyDescent="0.25">
      <c r="L1397" s="48"/>
      <c r="M1397" s="48"/>
      <c r="N1397" s="48"/>
    </row>
    <row r="1398" spans="12:14" ht="15.75" x14ac:dyDescent="0.25">
      <c r="L1398" s="48"/>
      <c r="M1398" s="48"/>
      <c r="N1398" s="48"/>
    </row>
    <row r="1399" spans="12:14" ht="15.75" x14ac:dyDescent="0.25">
      <c r="L1399" s="48"/>
      <c r="M1399" s="48"/>
      <c r="N1399" s="48"/>
    </row>
    <row r="1400" spans="12:14" ht="15.75" x14ac:dyDescent="0.25">
      <c r="L1400" s="48"/>
      <c r="M1400" s="48"/>
      <c r="N1400" s="48"/>
    </row>
    <row r="1401" spans="12:14" ht="15.75" x14ac:dyDescent="0.25">
      <c r="L1401" s="48"/>
      <c r="M1401" s="48"/>
      <c r="N1401" s="48"/>
    </row>
    <row r="1402" spans="12:14" ht="15.75" x14ac:dyDescent="0.25">
      <c r="L1402" s="48"/>
      <c r="M1402" s="48"/>
      <c r="N1402" s="48"/>
    </row>
    <row r="1403" spans="12:14" ht="15.75" x14ac:dyDescent="0.25">
      <c r="L1403" s="48"/>
      <c r="M1403" s="48"/>
      <c r="N1403" s="48"/>
    </row>
    <row r="1404" spans="12:14" ht="15.75" x14ac:dyDescent="0.25">
      <c r="L1404" s="48"/>
      <c r="M1404" s="48"/>
      <c r="N1404" s="48"/>
    </row>
    <row r="1405" spans="12:14" ht="15.75" x14ac:dyDescent="0.25">
      <c r="L1405" s="48"/>
      <c r="M1405" s="48"/>
      <c r="N1405" s="48"/>
    </row>
    <row r="1406" spans="12:14" ht="15.75" x14ac:dyDescent="0.25">
      <c r="L1406" s="48"/>
      <c r="M1406" s="48"/>
      <c r="N1406" s="48"/>
    </row>
    <row r="1407" spans="12:14" ht="15.75" x14ac:dyDescent="0.25">
      <c r="L1407" s="48"/>
      <c r="M1407" s="48"/>
      <c r="N1407" s="48"/>
    </row>
    <row r="1408" spans="12:14" ht="15.75" x14ac:dyDescent="0.25">
      <c r="L1408" s="48"/>
      <c r="M1408" s="48"/>
      <c r="N1408" s="48"/>
    </row>
    <row r="1409" spans="12:14" ht="15.75" x14ac:dyDescent="0.25">
      <c r="L1409" s="48"/>
      <c r="M1409" s="48"/>
      <c r="N1409" s="48"/>
    </row>
    <row r="1410" spans="12:14" ht="15.75" x14ac:dyDescent="0.25">
      <c r="L1410" s="48"/>
      <c r="M1410" s="48"/>
      <c r="N1410" s="48"/>
    </row>
    <row r="1411" spans="12:14" ht="15.75" x14ac:dyDescent="0.25">
      <c r="L1411" s="48"/>
      <c r="M1411" s="48"/>
      <c r="N1411" s="48"/>
    </row>
    <row r="1412" spans="12:14" ht="15.75" x14ac:dyDescent="0.25">
      <c r="L1412" s="48"/>
      <c r="M1412" s="48"/>
      <c r="N1412" s="48"/>
    </row>
    <row r="1413" spans="12:14" ht="15.75" x14ac:dyDescent="0.25">
      <c r="L1413" s="48"/>
      <c r="M1413" s="48"/>
      <c r="N1413" s="48"/>
    </row>
    <row r="1414" spans="12:14" ht="15.75" x14ac:dyDescent="0.25">
      <c r="L1414" s="48"/>
      <c r="M1414" s="48"/>
      <c r="N1414" s="48"/>
    </row>
    <row r="1415" spans="12:14" ht="15.75" x14ac:dyDescent="0.25">
      <c r="L1415" s="48"/>
      <c r="M1415" s="48"/>
      <c r="N1415" s="48"/>
    </row>
    <row r="1416" spans="12:14" ht="15.75" x14ac:dyDescent="0.25">
      <c r="L1416" s="48"/>
      <c r="M1416" s="48"/>
      <c r="N1416" s="48"/>
    </row>
    <row r="1417" spans="12:14" ht="15.75" x14ac:dyDescent="0.25">
      <c r="L1417" s="48"/>
      <c r="M1417" s="48"/>
      <c r="N1417" s="48"/>
    </row>
    <row r="1418" spans="12:14" ht="15.75" x14ac:dyDescent="0.25">
      <c r="L1418" s="48"/>
      <c r="M1418" s="48"/>
      <c r="N1418" s="48"/>
    </row>
    <row r="1419" spans="12:14" ht="15.75" x14ac:dyDescent="0.25">
      <c r="L1419" s="48"/>
      <c r="M1419" s="48"/>
      <c r="N1419" s="48"/>
    </row>
    <row r="1420" spans="12:14" ht="15.75" x14ac:dyDescent="0.25">
      <c r="L1420" s="48"/>
      <c r="M1420" s="48"/>
      <c r="N1420" s="48"/>
    </row>
    <row r="1421" spans="12:14" ht="15.75" x14ac:dyDescent="0.25">
      <c r="L1421" s="48"/>
      <c r="M1421" s="48"/>
      <c r="N1421" s="48"/>
    </row>
    <row r="1422" spans="12:14" ht="15.75" x14ac:dyDescent="0.25">
      <c r="L1422" s="48"/>
      <c r="M1422" s="48"/>
      <c r="N1422" s="48"/>
    </row>
    <row r="1423" spans="12:14" ht="15.75" x14ac:dyDescent="0.25">
      <c r="L1423" s="48"/>
      <c r="M1423" s="48"/>
      <c r="N1423" s="48"/>
    </row>
    <row r="1424" spans="12:14" ht="15.75" x14ac:dyDescent="0.25">
      <c r="L1424" s="48"/>
      <c r="M1424" s="48"/>
      <c r="N1424" s="48"/>
    </row>
    <row r="1425" spans="12:14" ht="15.75" x14ac:dyDescent="0.25">
      <c r="L1425" s="48"/>
      <c r="M1425" s="48"/>
      <c r="N1425" s="48"/>
    </row>
    <row r="1426" spans="12:14" ht="15.75" x14ac:dyDescent="0.25">
      <c r="L1426" s="48"/>
      <c r="M1426" s="48"/>
      <c r="N1426" s="48"/>
    </row>
    <row r="1427" spans="12:14" ht="15.75" x14ac:dyDescent="0.25">
      <c r="L1427" s="48"/>
      <c r="M1427" s="48"/>
      <c r="N1427" s="48"/>
    </row>
    <row r="1428" spans="12:14" ht="15.75" x14ac:dyDescent="0.25">
      <c r="L1428" s="48"/>
      <c r="M1428" s="48"/>
      <c r="N1428" s="48"/>
    </row>
    <row r="1429" spans="12:14" ht="15.75" x14ac:dyDescent="0.25">
      <c r="L1429" s="48"/>
      <c r="M1429" s="48"/>
      <c r="N1429" s="48"/>
    </row>
    <row r="1430" spans="12:14" ht="15.75" x14ac:dyDescent="0.25">
      <c r="L1430" s="48"/>
      <c r="M1430" s="48"/>
      <c r="N1430" s="48"/>
    </row>
    <row r="1431" spans="12:14" ht="15.75" x14ac:dyDescent="0.25">
      <c r="L1431" s="48"/>
      <c r="M1431" s="48"/>
      <c r="N1431" s="48"/>
    </row>
    <row r="1432" spans="12:14" ht="15.75" x14ac:dyDescent="0.25">
      <c r="L1432" s="48"/>
      <c r="M1432" s="48"/>
      <c r="N1432" s="48"/>
    </row>
    <row r="1433" spans="12:14" ht="15.75" x14ac:dyDescent="0.25">
      <c r="L1433" s="48"/>
      <c r="M1433" s="48"/>
      <c r="N1433" s="48"/>
    </row>
    <row r="1434" spans="12:14" ht="15.75" x14ac:dyDescent="0.25">
      <c r="L1434" s="48"/>
      <c r="M1434" s="48"/>
      <c r="N1434" s="48"/>
    </row>
    <row r="1435" spans="12:14" ht="15.75" x14ac:dyDescent="0.25">
      <c r="L1435" s="48"/>
      <c r="M1435" s="48"/>
      <c r="N1435" s="48"/>
    </row>
    <row r="1436" spans="12:14" ht="15.75" x14ac:dyDescent="0.25">
      <c r="L1436" s="48"/>
      <c r="M1436" s="48"/>
      <c r="N1436" s="48"/>
    </row>
    <row r="1437" spans="12:14" ht="15.75" x14ac:dyDescent="0.25">
      <c r="L1437" s="48"/>
      <c r="M1437" s="48"/>
      <c r="N1437" s="48"/>
    </row>
    <row r="1438" spans="12:14" ht="15.75" x14ac:dyDescent="0.25">
      <c r="L1438" s="48"/>
      <c r="M1438" s="48"/>
      <c r="N1438" s="48"/>
    </row>
    <row r="1439" spans="12:14" ht="15.75" x14ac:dyDescent="0.25">
      <c r="L1439" s="48"/>
      <c r="M1439" s="48"/>
      <c r="N1439" s="48"/>
    </row>
    <row r="1440" spans="12:14" ht="15.75" x14ac:dyDescent="0.25">
      <c r="L1440" s="48"/>
      <c r="M1440" s="48"/>
      <c r="N1440" s="48"/>
    </row>
    <row r="1441" spans="12:14" ht="15.75" x14ac:dyDescent="0.25">
      <c r="L1441" s="48"/>
      <c r="M1441" s="48"/>
      <c r="N1441" s="48"/>
    </row>
    <row r="1442" spans="12:14" ht="15.75" x14ac:dyDescent="0.25">
      <c r="L1442" s="48"/>
      <c r="M1442" s="48"/>
      <c r="N1442" s="48"/>
    </row>
    <row r="1443" spans="12:14" ht="15.75" x14ac:dyDescent="0.25">
      <c r="L1443" s="48"/>
      <c r="M1443" s="48"/>
      <c r="N1443" s="48"/>
    </row>
    <row r="1444" spans="12:14" ht="15.75" x14ac:dyDescent="0.25">
      <c r="L1444" s="48"/>
      <c r="M1444" s="48"/>
      <c r="N1444" s="48"/>
    </row>
    <row r="1445" spans="12:14" ht="15.75" x14ac:dyDescent="0.25">
      <c r="L1445" s="48"/>
      <c r="M1445" s="48"/>
      <c r="N1445" s="48"/>
    </row>
    <row r="1446" spans="12:14" ht="15.75" x14ac:dyDescent="0.25">
      <c r="L1446" s="48"/>
      <c r="M1446" s="48"/>
      <c r="N1446" s="48"/>
    </row>
    <row r="1447" spans="12:14" ht="15.75" x14ac:dyDescent="0.25">
      <c r="L1447" s="48"/>
      <c r="M1447" s="48"/>
      <c r="N1447" s="48"/>
    </row>
    <row r="1448" spans="12:14" ht="15.75" x14ac:dyDescent="0.25">
      <c r="L1448" s="48"/>
      <c r="M1448" s="48"/>
      <c r="N1448" s="48"/>
    </row>
    <row r="1449" spans="12:14" ht="15.75" x14ac:dyDescent="0.25">
      <c r="L1449" s="48"/>
      <c r="M1449" s="48"/>
      <c r="N1449" s="48"/>
    </row>
    <row r="1450" spans="12:14" ht="15.75" x14ac:dyDescent="0.25">
      <c r="L1450" s="48"/>
      <c r="M1450" s="48"/>
      <c r="N1450" s="48"/>
    </row>
    <row r="1451" spans="12:14" ht="15.75" x14ac:dyDescent="0.25">
      <c r="L1451" s="48"/>
      <c r="M1451" s="48"/>
      <c r="N1451" s="48"/>
    </row>
    <row r="1452" spans="12:14" ht="15.75" x14ac:dyDescent="0.25">
      <c r="L1452" s="48"/>
      <c r="M1452" s="48"/>
      <c r="N1452" s="48"/>
    </row>
    <row r="1453" spans="12:14" ht="15.75" x14ac:dyDescent="0.25">
      <c r="L1453" s="48"/>
      <c r="M1453" s="48"/>
      <c r="N1453" s="48"/>
    </row>
    <row r="1454" spans="12:14" ht="15.75" x14ac:dyDescent="0.25">
      <c r="L1454" s="48"/>
      <c r="M1454" s="48"/>
      <c r="N1454" s="48"/>
    </row>
    <row r="1455" spans="12:14" ht="15.75" x14ac:dyDescent="0.25">
      <c r="L1455" s="48"/>
      <c r="M1455" s="48"/>
      <c r="N1455" s="48"/>
    </row>
    <row r="1456" spans="12:14" ht="15.75" x14ac:dyDescent="0.25">
      <c r="L1456" s="48"/>
      <c r="M1456" s="48"/>
      <c r="N1456" s="48"/>
    </row>
    <row r="1457" spans="12:14" ht="15.75" x14ac:dyDescent="0.25">
      <c r="L1457" s="48"/>
      <c r="M1457" s="48"/>
      <c r="N1457" s="48"/>
    </row>
    <row r="1458" spans="12:14" ht="15.75" x14ac:dyDescent="0.25">
      <c r="L1458" s="48"/>
      <c r="M1458" s="48"/>
      <c r="N1458" s="48"/>
    </row>
    <row r="1459" spans="12:14" ht="15.75" x14ac:dyDescent="0.25">
      <c r="L1459" s="48"/>
      <c r="M1459" s="48"/>
      <c r="N1459" s="48"/>
    </row>
    <row r="1460" spans="12:14" ht="15.75" x14ac:dyDescent="0.25">
      <c r="L1460" s="48"/>
      <c r="M1460" s="48"/>
      <c r="N1460" s="48"/>
    </row>
    <row r="1461" spans="12:14" ht="15.75" x14ac:dyDescent="0.25">
      <c r="L1461" s="48"/>
      <c r="M1461" s="48"/>
      <c r="N1461" s="48"/>
    </row>
    <row r="1462" spans="12:14" ht="15.75" x14ac:dyDescent="0.25">
      <c r="L1462" s="48"/>
      <c r="M1462" s="48"/>
      <c r="N1462" s="48"/>
    </row>
    <row r="1463" spans="12:14" ht="15.75" x14ac:dyDescent="0.25">
      <c r="L1463" s="48"/>
      <c r="M1463" s="48"/>
      <c r="N1463" s="48"/>
    </row>
    <row r="1464" spans="12:14" ht="15.75" x14ac:dyDescent="0.25">
      <c r="L1464" s="48"/>
      <c r="M1464" s="48"/>
      <c r="N1464" s="48"/>
    </row>
    <row r="1465" spans="12:14" ht="15.75" x14ac:dyDescent="0.25">
      <c r="L1465" s="48"/>
      <c r="M1465" s="48"/>
      <c r="N1465" s="48"/>
    </row>
    <row r="1466" spans="12:14" ht="15.75" x14ac:dyDescent="0.25">
      <c r="L1466" s="48"/>
      <c r="M1466" s="48"/>
      <c r="N1466" s="48"/>
    </row>
    <row r="1467" spans="12:14" ht="15.75" x14ac:dyDescent="0.25">
      <c r="L1467" s="48"/>
      <c r="M1467" s="48"/>
      <c r="N1467" s="48"/>
    </row>
    <row r="1468" spans="12:14" ht="15.75" x14ac:dyDescent="0.25">
      <c r="L1468" s="48"/>
      <c r="M1468" s="48"/>
      <c r="N1468" s="48"/>
    </row>
    <row r="1469" spans="12:14" ht="15.75" x14ac:dyDescent="0.25">
      <c r="L1469" s="48"/>
      <c r="M1469" s="48"/>
      <c r="N1469" s="48"/>
    </row>
    <row r="1470" spans="12:14" ht="15.75" x14ac:dyDescent="0.25">
      <c r="L1470" s="48"/>
      <c r="M1470" s="48"/>
      <c r="N1470" s="48"/>
    </row>
    <row r="1471" spans="12:14" ht="15.75" x14ac:dyDescent="0.25">
      <c r="L1471" s="48"/>
      <c r="M1471" s="48"/>
      <c r="N1471" s="48"/>
    </row>
    <row r="1472" spans="12:14" ht="15.75" x14ac:dyDescent="0.25">
      <c r="L1472" s="48"/>
      <c r="M1472" s="48"/>
      <c r="N1472" s="48"/>
    </row>
    <row r="1473" spans="12:14" ht="15.75" x14ac:dyDescent="0.25">
      <c r="L1473" s="48"/>
      <c r="M1473" s="48"/>
      <c r="N1473" s="48"/>
    </row>
    <row r="1474" spans="12:14" ht="15.75" x14ac:dyDescent="0.25">
      <c r="L1474" s="48"/>
      <c r="M1474" s="48"/>
      <c r="N1474" s="48"/>
    </row>
    <row r="1475" spans="12:14" ht="15.75" x14ac:dyDescent="0.25">
      <c r="L1475" s="48"/>
      <c r="M1475" s="48"/>
      <c r="N1475" s="48"/>
    </row>
    <row r="1476" spans="12:14" ht="15.75" x14ac:dyDescent="0.25">
      <c r="L1476" s="48"/>
      <c r="M1476" s="48"/>
      <c r="N1476" s="48"/>
    </row>
    <row r="1477" spans="12:14" ht="15.75" x14ac:dyDescent="0.25">
      <c r="L1477" s="48"/>
      <c r="M1477" s="48"/>
      <c r="N1477" s="48"/>
    </row>
    <row r="1478" spans="12:14" ht="15.75" x14ac:dyDescent="0.25">
      <c r="L1478" s="48"/>
      <c r="M1478" s="48"/>
      <c r="N1478" s="48"/>
    </row>
    <row r="1479" spans="12:14" ht="15.75" x14ac:dyDescent="0.25">
      <c r="L1479" s="48"/>
      <c r="M1479" s="48"/>
      <c r="N1479" s="48"/>
    </row>
    <row r="1480" spans="12:14" ht="15.75" x14ac:dyDescent="0.25">
      <c r="L1480" s="48"/>
      <c r="M1480" s="48"/>
      <c r="N1480" s="48"/>
    </row>
    <row r="1481" spans="12:14" ht="15.75" x14ac:dyDescent="0.25">
      <c r="L1481" s="48"/>
      <c r="M1481" s="48"/>
      <c r="N1481" s="48"/>
    </row>
    <row r="1482" spans="12:14" ht="15.75" x14ac:dyDescent="0.25">
      <c r="L1482" s="48"/>
      <c r="M1482" s="48"/>
      <c r="N1482" s="48"/>
    </row>
    <row r="1483" spans="12:14" ht="15.75" x14ac:dyDescent="0.25">
      <c r="L1483" s="48"/>
      <c r="M1483" s="48"/>
      <c r="N1483" s="48"/>
    </row>
    <row r="1484" spans="12:14" ht="15.75" x14ac:dyDescent="0.25">
      <c r="L1484" s="48"/>
      <c r="M1484" s="48"/>
      <c r="N1484" s="48"/>
    </row>
    <row r="1485" spans="12:14" ht="15.75" x14ac:dyDescent="0.25">
      <c r="L1485" s="48"/>
      <c r="M1485" s="48"/>
      <c r="N1485" s="48"/>
    </row>
    <row r="1486" spans="12:14" ht="15.75" x14ac:dyDescent="0.25">
      <c r="L1486" s="48"/>
      <c r="M1486" s="48"/>
      <c r="N1486" s="48"/>
    </row>
    <row r="1487" spans="12:14" ht="15.75" x14ac:dyDescent="0.25">
      <c r="L1487" s="48"/>
      <c r="M1487" s="48"/>
      <c r="N1487" s="48"/>
    </row>
    <row r="1488" spans="12:14" ht="15.75" x14ac:dyDescent="0.25">
      <c r="L1488" s="48"/>
      <c r="M1488" s="48"/>
      <c r="N1488" s="48"/>
    </row>
    <row r="1489" spans="12:14" ht="15.75" x14ac:dyDescent="0.25">
      <c r="L1489" s="48"/>
      <c r="M1489" s="48"/>
      <c r="N1489" s="48"/>
    </row>
    <row r="1490" spans="12:14" ht="15.75" x14ac:dyDescent="0.25">
      <c r="L1490" s="48"/>
      <c r="M1490" s="48"/>
      <c r="N1490" s="48"/>
    </row>
    <row r="1491" spans="12:14" ht="15.75" x14ac:dyDescent="0.25">
      <c r="L1491" s="48"/>
      <c r="M1491" s="48"/>
      <c r="N1491" s="48"/>
    </row>
    <row r="1492" spans="12:14" ht="15.75" x14ac:dyDescent="0.25">
      <c r="L1492" s="48"/>
      <c r="M1492" s="48"/>
      <c r="N1492" s="48"/>
    </row>
    <row r="1493" spans="12:14" ht="15.75" x14ac:dyDescent="0.25">
      <c r="L1493" s="48"/>
      <c r="M1493" s="48"/>
      <c r="N1493" s="48"/>
    </row>
    <row r="1494" spans="12:14" ht="15.75" x14ac:dyDescent="0.25">
      <c r="L1494" s="48"/>
      <c r="M1494" s="48"/>
      <c r="N1494" s="48"/>
    </row>
    <row r="1495" spans="12:14" ht="15.75" x14ac:dyDescent="0.25">
      <c r="L1495" s="48"/>
      <c r="M1495" s="48"/>
      <c r="N1495" s="48"/>
    </row>
    <row r="1496" spans="12:14" ht="15.75" x14ac:dyDescent="0.25">
      <c r="L1496" s="48"/>
      <c r="M1496" s="48"/>
      <c r="N1496" s="48"/>
    </row>
    <row r="1497" spans="12:14" ht="15.75" x14ac:dyDescent="0.25">
      <c r="L1497" s="48"/>
      <c r="M1497" s="48"/>
      <c r="N1497" s="48"/>
    </row>
    <row r="1498" spans="12:14" ht="15.75" x14ac:dyDescent="0.25">
      <c r="L1498" s="48"/>
      <c r="M1498" s="48"/>
      <c r="N1498" s="48"/>
    </row>
    <row r="1499" spans="12:14" ht="15.75" x14ac:dyDescent="0.25">
      <c r="L1499" s="48"/>
      <c r="M1499" s="48"/>
      <c r="N1499" s="48"/>
    </row>
    <row r="1500" spans="12:14" ht="15.75" x14ac:dyDescent="0.25">
      <c r="L1500" s="48"/>
      <c r="M1500" s="48"/>
      <c r="N1500" s="48"/>
    </row>
    <row r="1501" spans="12:14" ht="15.75" x14ac:dyDescent="0.25">
      <c r="L1501" s="48"/>
      <c r="M1501" s="48"/>
      <c r="N1501" s="48"/>
    </row>
    <row r="1502" spans="12:14" ht="15.75" x14ac:dyDescent="0.25">
      <c r="L1502" s="48"/>
      <c r="M1502" s="48"/>
      <c r="N1502" s="48"/>
    </row>
    <row r="1503" spans="12:14" ht="15.75" x14ac:dyDescent="0.25">
      <c r="L1503" s="48"/>
      <c r="M1503" s="48"/>
      <c r="N1503" s="48"/>
    </row>
    <row r="1504" spans="12:14" ht="15.75" x14ac:dyDescent="0.25">
      <c r="L1504" s="48"/>
      <c r="M1504" s="48"/>
      <c r="N1504" s="48"/>
    </row>
    <row r="1505" spans="12:14" ht="15.75" x14ac:dyDescent="0.25">
      <c r="L1505" s="48"/>
      <c r="M1505" s="48"/>
      <c r="N1505" s="48"/>
    </row>
    <row r="1506" spans="12:14" ht="15.75" x14ac:dyDescent="0.25">
      <c r="L1506" s="48"/>
      <c r="M1506" s="48"/>
      <c r="N1506" s="48"/>
    </row>
    <row r="1507" spans="12:14" ht="15.75" x14ac:dyDescent="0.25">
      <c r="L1507" s="48"/>
      <c r="M1507" s="48"/>
      <c r="N1507" s="48"/>
    </row>
    <row r="1508" spans="12:14" ht="15.75" x14ac:dyDescent="0.25">
      <c r="L1508" s="48"/>
      <c r="M1508" s="48"/>
      <c r="N1508" s="48"/>
    </row>
    <row r="1509" spans="12:14" ht="15.75" x14ac:dyDescent="0.25">
      <c r="L1509" s="48"/>
      <c r="M1509" s="48"/>
      <c r="N1509" s="48"/>
    </row>
    <row r="1510" spans="12:14" ht="15.75" x14ac:dyDescent="0.25">
      <c r="L1510" s="48"/>
      <c r="M1510" s="48"/>
      <c r="N1510" s="48"/>
    </row>
    <row r="1511" spans="12:14" ht="15.75" x14ac:dyDescent="0.25">
      <c r="L1511" s="48"/>
      <c r="M1511" s="48"/>
      <c r="N1511" s="48"/>
    </row>
    <row r="1512" spans="12:14" ht="15.75" x14ac:dyDescent="0.25">
      <c r="L1512" s="48"/>
      <c r="M1512" s="48"/>
      <c r="N1512" s="48"/>
    </row>
    <row r="1513" spans="12:14" ht="15.75" x14ac:dyDescent="0.25">
      <c r="L1513" s="48"/>
      <c r="M1513" s="48"/>
      <c r="N1513" s="48"/>
    </row>
    <row r="1514" spans="12:14" ht="15.75" x14ac:dyDescent="0.25">
      <c r="L1514" s="48"/>
      <c r="M1514" s="48"/>
      <c r="N1514" s="48"/>
    </row>
    <row r="1515" spans="12:14" ht="15.75" x14ac:dyDescent="0.25">
      <c r="L1515" s="48"/>
      <c r="M1515" s="48"/>
      <c r="N1515" s="48"/>
    </row>
    <row r="1516" spans="12:14" ht="15.75" x14ac:dyDescent="0.25">
      <c r="L1516" s="48"/>
      <c r="M1516" s="48"/>
      <c r="N1516" s="48"/>
    </row>
    <row r="1517" spans="12:14" ht="15.75" x14ac:dyDescent="0.25">
      <c r="L1517" s="48"/>
      <c r="M1517" s="48"/>
      <c r="N1517" s="48"/>
    </row>
    <row r="1518" spans="12:14" ht="15.75" x14ac:dyDescent="0.25">
      <c r="L1518" s="48"/>
      <c r="M1518" s="48"/>
      <c r="N1518" s="48"/>
    </row>
    <row r="1519" spans="12:14" ht="15.75" x14ac:dyDescent="0.25">
      <c r="L1519" s="48"/>
      <c r="M1519" s="48"/>
      <c r="N1519" s="48"/>
    </row>
    <row r="1520" spans="12:14" ht="15.75" x14ac:dyDescent="0.25">
      <c r="L1520" s="48"/>
      <c r="M1520" s="48"/>
      <c r="N1520" s="48"/>
    </row>
    <row r="1521" spans="12:14" ht="15.75" x14ac:dyDescent="0.25">
      <c r="L1521" s="48"/>
      <c r="M1521" s="48"/>
      <c r="N1521" s="48"/>
    </row>
    <row r="1522" spans="12:14" ht="15.75" x14ac:dyDescent="0.25">
      <c r="L1522" s="48"/>
      <c r="M1522" s="48"/>
      <c r="N1522" s="48"/>
    </row>
    <row r="1523" spans="12:14" ht="15.75" x14ac:dyDescent="0.25">
      <c r="L1523" s="48"/>
      <c r="M1523" s="48"/>
      <c r="N1523" s="48"/>
    </row>
    <row r="1524" spans="12:14" ht="15.75" x14ac:dyDescent="0.25">
      <c r="L1524" s="48"/>
      <c r="M1524" s="48"/>
      <c r="N1524" s="48"/>
    </row>
    <row r="1525" spans="12:14" ht="15.75" x14ac:dyDescent="0.25">
      <c r="L1525" s="48"/>
      <c r="M1525" s="48"/>
      <c r="N1525" s="48"/>
    </row>
    <row r="1526" spans="12:14" ht="15.75" x14ac:dyDescent="0.25">
      <c r="L1526" s="48"/>
      <c r="M1526" s="48"/>
      <c r="N1526" s="48"/>
    </row>
    <row r="1527" spans="12:14" ht="15.75" x14ac:dyDescent="0.25">
      <c r="L1527" s="48"/>
      <c r="M1527" s="48"/>
      <c r="N1527" s="48"/>
    </row>
    <row r="1528" spans="12:14" ht="15.75" x14ac:dyDescent="0.25">
      <c r="L1528" s="48"/>
      <c r="M1528" s="48"/>
      <c r="N1528" s="48"/>
    </row>
    <row r="1529" spans="12:14" ht="15.75" x14ac:dyDescent="0.25">
      <c r="L1529" s="48"/>
      <c r="M1529" s="48"/>
      <c r="N1529" s="48"/>
    </row>
    <row r="1530" spans="12:14" ht="15.75" x14ac:dyDescent="0.25">
      <c r="L1530" s="48"/>
      <c r="M1530" s="48"/>
      <c r="N1530" s="48"/>
    </row>
    <row r="1531" spans="12:14" ht="15.75" x14ac:dyDescent="0.25">
      <c r="L1531" s="48"/>
      <c r="M1531" s="48"/>
      <c r="N1531" s="48"/>
    </row>
    <row r="1532" spans="12:14" ht="15.75" x14ac:dyDescent="0.25">
      <c r="L1532" s="48"/>
      <c r="M1532" s="48"/>
      <c r="N1532" s="48"/>
    </row>
    <row r="1533" spans="12:14" ht="15.75" x14ac:dyDescent="0.25">
      <c r="L1533" s="48"/>
      <c r="M1533" s="48"/>
      <c r="N1533" s="48"/>
    </row>
    <row r="1534" spans="12:14" ht="15.75" x14ac:dyDescent="0.25">
      <c r="L1534" s="48"/>
      <c r="M1534" s="48"/>
      <c r="N1534" s="48"/>
    </row>
    <row r="1535" spans="12:14" ht="15.75" x14ac:dyDescent="0.25">
      <c r="L1535" s="48"/>
      <c r="M1535" s="48"/>
      <c r="N1535" s="48"/>
    </row>
    <row r="1536" spans="12:14" ht="15.75" x14ac:dyDescent="0.25">
      <c r="L1536" s="48"/>
      <c r="M1536" s="48"/>
      <c r="N1536" s="48"/>
    </row>
    <row r="1537" spans="12:14" ht="15.75" x14ac:dyDescent="0.25">
      <c r="L1537" s="48"/>
      <c r="M1537" s="48"/>
      <c r="N1537" s="48"/>
    </row>
    <row r="1538" spans="12:14" ht="15.75" x14ac:dyDescent="0.25">
      <c r="L1538" s="48"/>
      <c r="M1538" s="48"/>
      <c r="N1538" s="48"/>
    </row>
    <row r="1539" spans="12:14" ht="15.75" x14ac:dyDescent="0.25">
      <c r="L1539" s="48"/>
      <c r="M1539" s="48"/>
      <c r="N1539" s="48"/>
    </row>
    <row r="1540" spans="12:14" ht="15.75" x14ac:dyDescent="0.25">
      <c r="L1540" s="48"/>
      <c r="M1540" s="48"/>
      <c r="N1540" s="48"/>
    </row>
    <row r="1541" spans="12:14" ht="15.75" x14ac:dyDescent="0.25">
      <c r="L1541" s="48"/>
      <c r="M1541" s="48"/>
      <c r="N1541" s="48"/>
    </row>
    <row r="1542" spans="12:14" ht="15.75" x14ac:dyDescent="0.25">
      <c r="L1542" s="48"/>
      <c r="M1542" s="48"/>
      <c r="N1542" s="48"/>
    </row>
    <row r="1543" spans="12:14" ht="15.75" x14ac:dyDescent="0.25">
      <c r="L1543" s="48"/>
      <c r="M1543" s="48"/>
      <c r="N1543" s="48"/>
    </row>
    <row r="1544" spans="12:14" ht="15.75" x14ac:dyDescent="0.25">
      <c r="L1544" s="48"/>
      <c r="M1544" s="48"/>
      <c r="N1544" s="48"/>
    </row>
    <row r="1545" spans="12:14" ht="15.75" x14ac:dyDescent="0.25">
      <c r="L1545" s="48"/>
      <c r="M1545" s="48"/>
      <c r="N1545" s="48"/>
    </row>
    <row r="1546" spans="12:14" ht="15.75" x14ac:dyDescent="0.25">
      <c r="L1546" s="48"/>
      <c r="M1546" s="48"/>
      <c r="N1546" s="48"/>
    </row>
    <row r="1547" spans="12:14" ht="15.75" x14ac:dyDescent="0.25">
      <c r="L1547" s="48"/>
      <c r="M1547" s="48"/>
      <c r="N1547" s="48"/>
    </row>
    <row r="1548" spans="12:14" ht="15.75" x14ac:dyDescent="0.25">
      <c r="L1548" s="48"/>
      <c r="M1548" s="48"/>
      <c r="N1548" s="48"/>
    </row>
    <row r="1549" spans="12:14" ht="15.75" x14ac:dyDescent="0.25">
      <c r="L1549" s="48"/>
      <c r="M1549" s="48"/>
      <c r="N1549" s="48"/>
    </row>
    <row r="1550" spans="12:14" ht="15.75" x14ac:dyDescent="0.25">
      <c r="L1550" s="48"/>
      <c r="M1550" s="48"/>
      <c r="N1550" s="48"/>
    </row>
    <row r="1551" spans="12:14" ht="15.75" x14ac:dyDescent="0.25">
      <c r="L1551" s="48"/>
      <c r="M1551" s="48"/>
      <c r="N1551" s="48"/>
    </row>
    <row r="1552" spans="12:14" ht="15.75" x14ac:dyDescent="0.25">
      <c r="L1552" s="48"/>
      <c r="M1552" s="48"/>
      <c r="N1552" s="48"/>
    </row>
    <row r="1553" spans="12:14" ht="15.75" x14ac:dyDescent="0.25">
      <c r="L1553" s="48"/>
      <c r="M1553" s="48"/>
      <c r="N1553" s="48"/>
    </row>
    <row r="1554" spans="12:14" ht="15.75" x14ac:dyDescent="0.25">
      <c r="L1554" s="48"/>
      <c r="M1554" s="48"/>
      <c r="N1554" s="48"/>
    </row>
    <row r="1555" spans="12:14" ht="15.75" x14ac:dyDescent="0.25">
      <c r="L1555" s="48"/>
      <c r="M1555" s="48"/>
      <c r="N1555" s="48"/>
    </row>
    <row r="1556" spans="12:14" ht="15.75" x14ac:dyDescent="0.25">
      <c r="L1556" s="48"/>
      <c r="M1556" s="48"/>
      <c r="N1556" s="48"/>
    </row>
    <row r="1557" spans="12:14" ht="15.75" x14ac:dyDescent="0.25">
      <c r="L1557" s="48"/>
      <c r="M1557" s="48"/>
      <c r="N1557" s="48"/>
    </row>
    <row r="1558" spans="12:14" ht="15.75" x14ac:dyDescent="0.25">
      <c r="L1558" s="48"/>
      <c r="M1558" s="48"/>
      <c r="N1558" s="48"/>
    </row>
    <row r="1559" spans="12:14" ht="15.75" x14ac:dyDescent="0.25">
      <c r="L1559" s="48"/>
      <c r="M1559" s="48"/>
      <c r="N1559" s="48"/>
    </row>
    <row r="1560" spans="12:14" ht="15.75" x14ac:dyDescent="0.25">
      <c r="L1560" s="48"/>
      <c r="M1560" s="48"/>
      <c r="N1560" s="48"/>
    </row>
    <row r="1561" spans="12:14" ht="15.75" x14ac:dyDescent="0.25">
      <c r="L1561" s="48"/>
      <c r="M1561" s="48"/>
      <c r="N1561" s="48"/>
    </row>
    <row r="1562" spans="12:14" ht="15.75" x14ac:dyDescent="0.25">
      <c r="L1562" s="48"/>
      <c r="M1562" s="48"/>
      <c r="N1562" s="48"/>
    </row>
    <row r="1563" spans="12:14" ht="15.75" x14ac:dyDescent="0.25">
      <c r="L1563" s="48"/>
      <c r="M1563" s="48"/>
      <c r="N1563" s="48"/>
    </row>
    <row r="1564" spans="12:14" ht="15.75" x14ac:dyDescent="0.25">
      <c r="L1564" s="48"/>
      <c r="M1564" s="48"/>
      <c r="N1564" s="48"/>
    </row>
    <row r="1565" spans="12:14" ht="15.75" x14ac:dyDescent="0.25">
      <c r="L1565" s="48"/>
      <c r="M1565" s="48"/>
      <c r="N1565" s="48"/>
    </row>
    <row r="1566" spans="12:14" ht="15.75" x14ac:dyDescent="0.25">
      <c r="L1566" s="48"/>
      <c r="M1566" s="48"/>
      <c r="N1566" s="48"/>
    </row>
    <row r="1567" spans="12:14" ht="15.75" x14ac:dyDescent="0.25">
      <c r="L1567" s="48"/>
      <c r="M1567" s="48"/>
      <c r="N1567" s="48"/>
    </row>
    <row r="1568" spans="12:14" ht="15.75" x14ac:dyDescent="0.25">
      <c r="L1568" s="48"/>
      <c r="M1568" s="48"/>
      <c r="N1568" s="48"/>
    </row>
    <row r="1569" spans="12:14" ht="15.75" x14ac:dyDescent="0.25">
      <c r="L1569" s="48"/>
      <c r="M1569" s="48"/>
      <c r="N1569" s="48"/>
    </row>
    <row r="1570" spans="12:14" ht="15.75" x14ac:dyDescent="0.25">
      <c r="L1570" s="48"/>
      <c r="M1570" s="48"/>
      <c r="N1570" s="48"/>
    </row>
    <row r="1571" spans="12:14" ht="15.75" x14ac:dyDescent="0.25">
      <c r="L1571" s="48"/>
      <c r="M1571" s="48"/>
      <c r="N1571" s="48"/>
    </row>
    <row r="1572" spans="12:14" ht="15.75" x14ac:dyDescent="0.25">
      <c r="L1572" s="48"/>
      <c r="M1572" s="48"/>
      <c r="N1572" s="48"/>
    </row>
    <row r="1573" spans="12:14" ht="15.75" x14ac:dyDescent="0.25">
      <c r="L1573" s="48"/>
      <c r="M1573" s="48"/>
      <c r="N1573" s="48"/>
    </row>
    <row r="1574" spans="12:14" ht="15.75" x14ac:dyDescent="0.25">
      <c r="L1574" s="48"/>
      <c r="M1574" s="48"/>
      <c r="N1574" s="48"/>
    </row>
    <row r="1575" spans="12:14" ht="15.75" x14ac:dyDescent="0.25">
      <c r="L1575" s="48"/>
      <c r="M1575" s="48"/>
      <c r="N1575" s="48"/>
    </row>
    <row r="1576" spans="12:14" ht="15.75" x14ac:dyDescent="0.25">
      <c r="L1576" s="48"/>
      <c r="M1576" s="48"/>
      <c r="N1576" s="48"/>
    </row>
    <row r="1577" spans="12:14" ht="15.75" x14ac:dyDescent="0.25">
      <c r="L1577" s="48"/>
      <c r="M1577" s="48"/>
      <c r="N1577" s="48"/>
    </row>
    <row r="1578" spans="12:14" ht="15.75" x14ac:dyDescent="0.25">
      <c r="L1578" s="48"/>
      <c r="M1578" s="48"/>
      <c r="N1578" s="48"/>
    </row>
    <row r="1579" spans="12:14" ht="15.75" x14ac:dyDescent="0.25">
      <c r="L1579" s="48"/>
      <c r="M1579" s="48"/>
      <c r="N1579" s="48"/>
    </row>
    <row r="1580" spans="12:14" ht="15.75" x14ac:dyDescent="0.25">
      <c r="L1580" s="48"/>
      <c r="M1580" s="48"/>
      <c r="N1580" s="48"/>
    </row>
    <row r="1581" spans="12:14" ht="15.75" x14ac:dyDescent="0.25">
      <c r="L1581" s="48"/>
      <c r="M1581" s="48"/>
      <c r="N1581" s="48"/>
    </row>
    <row r="1582" spans="12:14" ht="15.75" x14ac:dyDescent="0.25">
      <c r="L1582" s="48"/>
      <c r="M1582" s="48"/>
      <c r="N1582" s="48"/>
    </row>
    <row r="1583" spans="12:14" ht="15.75" x14ac:dyDescent="0.25">
      <c r="L1583" s="48"/>
      <c r="M1583" s="48"/>
      <c r="N1583" s="48"/>
    </row>
    <row r="1584" spans="12:14" ht="15.75" x14ac:dyDescent="0.25">
      <c r="L1584" s="48"/>
      <c r="M1584" s="48"/>
      <c r="N1584" s="48"/>
    </row>
    <row r="1585" spans="12:14" ht="15.75" x14ac:dyDescent="0.25">
      <c r="L1585" s="48"/>
      <c r="M1585" s="48"/>
      <c r="N1585" s="48"/>
    </row>
    <row r="1586" spans="12:14" ht="15.75" x14ac:dyDescent="0.25">
      <c r="L1586" s="48"/>
      <c r="M1586" s="48"/>
      <c r="N1586" s="48"/>
    </row>
    <row r="1587" spans="12:14" ht="15.75" x14ac:dyDescent="0.25">
      <c r="L1587" s="48"/>
      <c r="M1587" s="48"/>
      <c r="N1587" s="48"/>
    </row>
    <row r="1588" spans="12:14" ht="15.75" x14ac:dyDescent="0.25">
      <c r="L1588" s="48"/>
      <c r="M1588" s="48"/>
      <c r="N1588" s="48"/>
    </row>
    <row r="1589" spans="12:14" ht="15.75" x14ac:dyDescent="0.25">
      <c r="L1589" s="48"/>
      <c r="M1589" s="48"/>
      <c r="N1589" s="48"/>
    </row>
    <row r="1590" spans="12:14" ht="15.75" x14ac:dyDescent="0.25">
      <c r="L1590" s="48"/>
      <c r="M1590" s="48"/>
      <c r="N1590" s="48"/>
    </row>
    <row r="1591" spans="12:14" ht="15.75" x14ac:dyDescent="0.25">
      <c r="L1591" s="48"/>
      <c r="M1591" s="48"/>
      <c r="N1591" s="48"/>
    </row>
    <row r="1592" spans="12:14" ht="15.75" x14ac:dyDescent="0.25">
      <c r="L1592" s="48"/>
      <c r="M1592" s="48"/>
      <c r="N1592" s="48"/>
    </row>
    <row r="1593" spans="12:14" ht="15.75" x14ac:dyDescent="0.25">
      <c r="L1593" s="48"/>
      <c r="M1593" s="48"/>
      <c r="N1593" s="48"/>
    </row>
    <row r="1594" spans="12:14" ht="15.75" x14ac:dyDescent="0.25">
      <c r="L1594" s="48"/>
      <c r="M1594" s="48"/>
      <c r="N1594" s="48"/>
    </row>
    <row r="1595" spans="12:14" ht="15.75" x14ac:dyDescent="0.25">
      <c r="L1595" s="48"/>
      <c r="M1595" s="48"/>
      <c r="N1595" s="48"/>
    </row>
    <row r="1596" spans="12:14" ht="15.75" x14ac:dyDescent="0.25">
      <c r="L1596" s="48"/>
      <c r="M1596" s="48"/>
      <c r="N1596" s="48"/>
    </row>
    <row r="1597" spans="12:14" ht="15.75" x14ac:dyDescent="0.25">
      <c r="L1597" s="48"/>
      <c r="M1597" s="48"/>
      <c r="N1597" s="48"/>
    </row>
    <row r="1598" spans="12:14" ht="15.75" x14ac:dyDescent="0.25">
      <c r="L1598" s="48"/>
      <c r="M1598" s="48"/>
      <c r="N1598" s="48"/>
    </row>
    <row r="1599" spans="12:14" ht="15.75" x14ac:dyDescent="0.25">
      <c r="L1599" s="48"/>
      <c r="M1599" s="48"/>
      <c r="N1599" s="48"/>
    </row>
    <row r="1600" spans="12:14" ht="15.75" x14ac:dyDescent="0.25">
      <c r="L1600" s="48"/>
      <c r="M1600" s="48"/>
      <c r="N1600" s="48"/>
    </row>
    <row r="1601" spans="12:14" ht="15.75" x14ac:dyDescent="0.25">
      <c r="L1601" s="48"/>
      <c r="M1601" s="48"/>
      <c r="N1601" s="48"/>
    </row>
    <row r="1602" spans="12:14" ht="15.75" x14ac:dyDescent="0.25">
      <c r="L1602" s="48"/>
      <c r="M1602" s="48"/>
      <c r="N1602" s="48"/>
    </row>
    <row r="1603" spans="12:14" ht="15.75" x14ac:dyDescent="0.25">
      <c r="L1603" s="48"/>
      <c r="M1603" s="48"/>
      <c r="N1603" s="48"/>
    </row>
    <row r="1604" spans="12:14" ht="15.75" x14ac:dyDescent="0.25">
      <c r="L1604" s="48"/>
      <c r="M1604" s="48"/>
      <c r="N1604" s="48"/>
    </row>
    <row r="1605" spans="12:14" ht="15.75" x14ac:dyDescent="0.25">
      <c r="L1605" s="48"/>
      <c r="M1605" s="48"/>
      <c r="N1605" s="48"/>
    </row>
    <row r="1606" spans="12:14" ht="15.75" x14ac:dyDescent="0.25">
      <c r="L1606" s="48"/>
      <c r="M1606" s="48"/>
      <c r="N1606" s="48"/>
    </row>
    <row r="1607" spans="12:14" ht="15.75" x14ac:dyDescent="0.25">
      <c r="L1607" s="48"/>
      <c r="M1607" s="48"/>
      <c r="N1607" s="48"/>
    </row>
    <row r="1608" spans="12:14" ht="15.75" x14ac:dyDescent="0.25">
      <c r="L1608" s="48"/>
      <c r="M1608" s="48"/>
      <c r="N1608" s="48"/>
    </row>
    <row r="1609" spans="12:14" ht="15.75" x14ac:dyDescent="0.25">
      <c r="L1609" s="48"/>
      <c r="M1609" s="48"/>
      <c r="N1609" s="48"/>
    </row>
    <row r="1610" spans="12:14" ht="15.75" x14ac:dyDescent="0.25">
      <c r="L1610" s="48"/>
      <c r="M1610" s="48"/>
      <c r="N1610" s="48"/>
    </row>
    <row r="1611" spans="12:14" ht="15.75" x14ac:dyDescent="0.25">
      <c r="L1611" s="48"/>
      <c r="M1611" s="48"/>
      <c r="N1611" s="48"/>
    </row>
    <row r="1612" spans="12:14" ht="15.75" x14ac:dyDescent="0.25">
      <c r="L1612" s="48"/>
      <c r="M1612" s="48"/>
      <c r="N1612" s="48"/>
    </row>
    <row r="1613" spans="12:14" ht="15.75" x14ac:dyDescent="0.25">
      <c r="L1613" s="48"/>
      <c r="M1613" s="48"/>
      <c r="N1613" s="48"/>
    </row>
    <row r="1614" spans="12:14" ht="15.75" x14ac:dyDescent="0.25">
      <c r="L1614" s="48"/>
      <c r="M1614" s="48"/>
      <c r="N1614" s="48"/>
    </row>
    <row r="1615" spans="12:14" ht="15.75" x14ac:dyDescent="0.25">
      <c r="L1615" s="48"/>
      <c r="M1615" s="48"/>
      <c r="N1615" s="48"/>
    </row>
    <row r="1616" spans="12:14" ht="15.75" x14ac:dyDescent="0.25">
      <c r="L1616" s="48"/>
      <c r="M1616" s="48"/>
      <c r="N1616" s="48"/>
    </row>
    <row r="1617" spans="12:14" ht="15.75" x14ac:dyDescent="0.25">
      <c r="L1617" s="48"/>
      <c r="M1617" s="48"/>
      <c r="N1617" s="48"/>
    </row>
    <row r="1618" spans="12:14" ht="15.75" x14ac:dyDescent="0.25">
      <c r="L1618" s="48"/>
      <c r="M1618" s="48"/>
      <c r="N1618" s="48"/>
    </row>
    <row r="1619" spans="12:14" ht="15.75" x14ac:dyDescent="0.25">
      <c r="L1619" s="48"/>
      <c r="M1619" s="48"/>
      <c r="N1619" s="48"/>
    </row>
    <row r="1620" spans="12:14" ht="15.75" x14ac:dyDescent="0.25">
      <c r="L1620" s="48"/>
      <c r="M1620" s="48"/>
      <c r="N1620" s="48"/>
    </row>
    <row r="1621" spans="12:14" ht="15.75" x14ac:dyDescent="0.25">
      <c r="L1621" s="48"/>
      <c r="M1621" s="48"/>
      <c r="N1621" s="48"/>
    </row>
    <row r="1622" spans="12:14" ht="15.75" x14ac:dyDescent="0.25">
      <c r="L1622" s="48"/>
      <c r="M1622" s="48"/>
      <c r="N1622" s="48"/>
    </row>
    <row r="1623" spans="12:14" ht="15.75" x14ac:dyDescent="0.25">
      <c r="L1623" s="48"/>
      <c r="M1623" s="48"/>
      <c r="N1623" s="48"/>
    </row>
    <row r="1624" spans="12:14" ht="15.75" x14ac:dyDescent="0.25">
      <c r="L1624" s="48"/>
      <c r="M1624" s="48"/>
      <c r="N1624" s="48"/>
    </row>
    <row r="1625" spans="12:14" ht="15.75" x14ac:dyDescent="0.25">
      <c r="L1625" s="48"/>
      <c r="M1625" s="48"/>
      <c r="N1625" s="48"/>
    </row>
    <row r="1626" spans="12:14" ht="15.75" x14ac:dyDescent="0.25">
      <c r="L1626" s="48"/>
      <c r="M1626" s="48"/>
      <c r="N1626" s="48"/>
    </row>
    <row r="1627" spans="12:14" ht="15.75" x14ac:dyDescent="0.25">
      <c r="L1627" s="48"/>
      <c r="M1627" s="48"/>
      <c r="N1627" s="48"/>
    </row>
    <row r="1628" spans="12:14" ht="15.75" x14ac:dyDescent="0.25">
      <c r="L1628" s="48"/>
      <c r="M1628" s="48"/>
      <c r="N1628" s="48"/>
    </row>
    <row r="1629" spans="12:14" ht="15.75" x14ac:dyDescent="0.25">
      <c r="L1629" s="48"/>
      <c r="M1629" s="48"/>
      <c r="N1629" s="48"/>
    </row>
    <row r="1630" spans="12:14" ht="15.75" x14ac:dyDescent="0.25">
      <c r="L1630" s="48"/>
      <c r="M1630" s="48"/>
      <c r="N1630" s="48"/>
    </row>
    <row r="1631" spans="12:14" ht="15.75" x14ac:dyDescent="0.25">
      <c r="L1631" s="48"/>
      <c r="M1631" s="48"/>
      <c r="N1631" s="48"/>
    </row>
    <row r="1632" spans="12:14" ht="15.75" x14ac:dyDescent="0.25">
      <c r="L1632" s="48"/>
      <c r="M1632" s="48"/>
      <c r="N1632" s="48"/>
    </row>
    <row r="1633" spans="12:14" ht="15.75" x14ac:dyDescent="0.25">
      <c r="L1633" s="48"/>
      <c r="M1633" s="48"/>
      <c r="N1633" s="48"/>
    </row>
    <row r="1634" spans="12:14" ht="15.75" x14ac:dyDescent="0.25">
      <c r="L1634" s="48"/>
      <c r="M1634" s="48"/>
      <c r="N1634" s="48"/>
    </row>
    <row r="1635" spans="12:14" ht="15.75" x14ac:dyDescent="0.25">
      <c r="L1635" s="48"/>
      <c r="M1635" s="48"/>
      <c r="N1635" s="48"/>
    </row>
    <row r="1636" spans="12:14" ht="15.75" x14ac:dyDescent="0.25">
      <c r="L1636" s="48"/>
      <c r="M1636" s="48"/>
      <c r="N1636" s="48"/>
    </row>
    <row r="1637" spans="12:14" ht="15.75" x14ac:dyDescent="0.25">
      <c r="L1637" s="48"/>
      <c r="M1637" s="48"/>
      <c r="N1637" s="48"/>
    </row>
    <row r="1638" spans="12:14" ht="15.75" x14ac:dyDescent="0.25">
      <c r="L1638" s="48"/>
      <c r="M1638" s="48"/>
      <c r="N1638" s="48"/>
    </row>
    <row r="1639" spans="12:14" ht="15.75" x14ac:dyDescent="0.25">
      <c r="L1639" s="48"/>
      <c r="M1639" s="48"/>
      <c r="N1639" s="48"/>
    </row>
    <row r="1640" spans="12:14" ht="15.75" x14ac:dyDescent="0.25">
      <c r="L1640" s="48"/>
      <c r="M1640" s="48"/>
      <c r="N1640" s="48"/>
    </row>
    <row r="1641" spans="12:14" ht="15.75" x14ac:dyDescent="0.25">
      <c r="L1641" s="48"/>
      <c r="M1641" s="48"/>
      <c r="N1641" s="48"/>
    </row>
    <row r="1642" spans="12:14" ht="15.75" x14ac:dyDescent="0.25">
      <c r="L1642" s="48"/>
      <c r="M1642" s="48"/>
      <c r="N1642" s="48"/>
    </row>
    <row r="1643" spans="12:14" ht="15.75" x14ac:dyDescent="0.25">
      <c r="L1643" s="48"/>
      <c r="M1643" s="48"/>
      <c r="N1643" s="48"/>
    </row>
    <row r="1644" spans="12:14" ht="15.75" x14ac:dyDescent="0.25">
      <c r="L1644" s="48"/>
      <c r="M1644" s="48"/>
      <c r="N1644" s="48"/>
    </row>
    <row r="1645" spans="12:14" ht="15.75" x14ac:dyDescent="0.25">
      <c r="L1645" s="48"/>
      <c r="M1645" s="48"/>
      <c r="N1645" s="48"/>
    </row>
    <row r="1646" spans="12:14" ht="15.75" x14ac:dyDescent="0.25">
      <c r="L1646" s="48"/>
      <c r="M1646" s="48"/>
      <c r="N1646" s="48"/>
    </row>
    <row r="1647" spans="12:14" ht="15.75" x14ac:dyDescent="0.25">
      <c r="L1647" s="48"/>
      <c r="M1647" s="48"/>
      <c r="N1647" s="48"/>
    </row>
    <row r="1648" spans="12:14" ht="15.75" x14ac:dyDescent="0.25">
      <c r="L1648" s="48"/>
      <c r="M1648" s="48"/>
      <c r="N1648" s="48"/>
    </row>
    <row r="1649" spans="12:14" ht="15.75" x14ac:dyDescent="0.25">
      <c r="L1649" s="48"/>
      <c r="M1649" s="48"/>
      <c r="N1649" s="48"/>
    </row>
    <row r="1650" spans="12:14" ht="15.75" x14ac:dyDescent="0.25">
      <c r="L1650" s="48"/>
      <c r="M1650" s="48"/>
      <c r="N1650" s="48"/>
    </row>
    <row r="1651" spans="12:14" ht="15.75" x14ac:dyDescent="0.25">
      <c r="L1651" s="48"/>
      <c r="M1651" s="48"/>
      <c r="N1651" s="48"/>
    </row>
    <row r="1652" spans="12:14" ht="15.75" x14ac:dyDescent="0.25">
      <c r="L1652" s="48"/>
      <c r="M1652" s="48"/>
      <c r="N1652" s="48"/>
    </row>
    <row r="1653" spans="12:14" ht="15.75" x14ac:dyDescent="0.25">
      <c r="L1653" s="48"/>
      <c r="M1653" s="48"/>
      <c r="N1653" s="48"/>
    </row>
    <row r="1654" spans="12:14" ht="15.75" x14ac:dyDescent="0.25">
      <c r="L1654" s="48"/>
      <c r="M1654" s="48"/>
      <c r="N1654" s="48"/>
    </row>
    <row r="1655" spans="12:14" ht="15.75" x14ac:dyDescent="0.25">
      <c r="L1655" s="48"/>
      <c r="M1655" s="48"/>
      <c r="N1655" s="48"/>
    </row>
    <row r="1656" spans="12:14" ht="15.75" x14ac:dyDescent="0.25">
      <c r="L1656" s="48"/>
      <c r="M1656" s="48"/>
      <c r="N1656" s="48"/>
    </row>
    <row r="1657" spans="12:14" ht="15.75" x14ac:dyDescent="0.25">
      <c r="L1657" s="48"/>
      <c r="M1657" s="48"/>
      <c r="N1657" s="48"/>
    </row>
    <row r="1658" spans="12:14" ht="15.75" x14ac:dyDescent="0.25">
      <c r="L1658" s="48"/>
      <c r="M1658" s="48"/>
      <c r="N1658" s="48"/>
    </row>
    <row r="1659" spans="12:14" ht="15.75" x14ac:dyDescent="0.25">
      <c r="L1659" s="48"/>
      <c r="M1659" s="48"/>
      <c r="N1659" s="48"/>
    </row>
    <row r="1660" spans="12:14" ht="15.75" x14ac:dyDescent="0.25">
      <c r="L1660" s="48"/>
      <c r="M1660" s="48"/>
      <c r="N1660" s="48"/>
    </row>
    <row r="1661" spans="12:14" ht="15.75" x14ac:dyDescent="0.25">
      <c r="L1661" s="48"/>
      <c r="M1661" s="48"/>
      <c r="N1661" s="48"/>
    </row>
    <row r="1662" spans="12:14" ht="15.75" x14ac:dyDescent="0.25">
      <c r="L1662" s="48"/>
      <c r="M1662" s="48"/>
      <c r="N1662" s="48"/>
    </row>
    <row r="1663" spans="12:14" ht="15.75" x14ac:dyDescent="0.25">
      <c r="L1663" s="48"/>
      <c r="M1663" s="48"/>
      <c r="N1663" s="48"/>
    </row>
  </sheetData>
  <mergeCells count="16">
    <mergeCell ref="N2:N3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O2:O3"/>
  </mergeCells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O14"/>
  <sheetViews>
    <sheetView zoomScale="85" zoomScaleNormal="85" workbookViewId="0">
      <pane ySplit="2" topLeftCell="A3" activePane="bottomLeft" state="frozen"/>
      <selection pane="bottomLeft" activeCell="O7" sqref="O7"/>
    </sheetView>
  </sheetViews>
  <sheetFormatPr baseColWidth="10" defaultColWidth="9.140625" defaultRowHeight="15.75" x14ac:dyDescent="0.25"/>
  <cols>
    <col min="1" max="1" width="14.5703125" style="5" bestFit="1" customWidth="1"/>
    <col min="2" max="2" width="19.85546875" customWidth="1"/>
    <col min="3" max="3" width="15.7109375" style="4" customWidth="1"/>
    <col min="4" max="4" width="11.28515625" style="8" customWidth="1"/>
    <col min="5" max="5" width="11.140625" style="8" customWidth="1"/>
    <col min="6" max="6" width="11" style="8" customWidth="1"/>
    <col min="7" max="7" width="11.28515625" style="8" customWidth="1"/>
    <col min="8" max="11" width="9.140625" style="8"/>
    <col min="12" max="12" width="13" style="8" customWidth="1"/>
    <col min="13" max="13" width="13" style="8" bestFit="1" customWidth="1"/>
    <col min="14" max="14" width="15.28515625" style="8" bestFit="1" customWidth="1"/>
    <col min="15" max="15" width="14.140625" style="8" bestFit="1" customWidth="1"/>
  </cols>
  <sheetData>
    <row r="1" spans="1:15" ht="31.5" customHeight="1" thickBot="1" x14ac:dyDescent="0.65">
      <c r="A1" s="40"/>
      <c r="B1" s="72" t="s">
        <v>19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s="54" customFormat="1" ht="29.25" customHeight="1" thickBot="1" x14ac:dyDescent="0.3">
      <c r="A2" s="22" t="s">
        <v>1</v>
      </c>
      <c r="B2" s="52" t="s">
        <v>2</v>
      </c>
      <c r="C2" s="7" t="s">
        <v>3</v>
      </c>
      <c r="D2" s="55" t="s">
        <v>20</v>
      </c>
      <c r="E2" s="55" t="s">
        <v>21</v>
      </c>
      <c r="F2" s="55" t="s">
        <v>22</v>
      </c>
      <c r="G2" s="55" t="s">
        <v>23</v>
      </c>
      <c r="H2" s="51" t="s">
        <v>24</v>
      </c>
      <c r="I2" s="51" t="s">
        <v>25</v>
      </c>
      <c r="J2" s="51" t="s">
        <v>26</v>
      </c>
      <c r="K2" s="51" t="s">
        <v>27</v>
      </c>
      <c r="L2" s="53" t="s">
        <v>28</v>
      </c>
      <c r="M2" s="53" t="s">
        <v>29</v>
      </c>
      <c r="N2" s="53" t="s">
        <v>30</v>
      </c>
      <c r="O2" s="53" t="s">
        <v>31</v>
      </c>
    </row>
    <row r="3" spans="1:15" x14ac:dyDescent="0.25">
      <c r="A3" s="9">
        <v>46048</v>
      </c>
      <c r="B3" s="19" t="s">
        <v>93</v>
      </c>
      <c r="C3" s="6">
        <v>0.20219999999999999</v>
      </c>
      <c r="D3" s="82">
        <v>0.126</v>
      </c>
      <c r="E3" s="82">
        <v>5.8999999999999997E-2</v>
      </c>
      <c r="F3" s="82">
        <v>0.57799999999999996</v>
      </c>
      <c r="G3" s="82">
        <v>2.78</v>
      </c>
      <c r="H3" s="83">
        <v>2.5000000000000001E-2</v>
      </c>
      <c r="I3" s="82">
        <v>1E-3</v>
      </c>
      <c r="J3" s="82">
        <v>0.08</v>
      </c>
      <c r="K3" s="82">
        <v>3.3769999999999998</v>
      </c>
      <c r="L3" s="48">
        <f>+((D3-H3)*50)/(C3)</f>
        <v>24.975272007912963</v>
      </c>
      <c r="M3" s="48">
        <f t="shared" ref="M3:M10" si="0">+((E3-I3)*50)/C3</f>
        <v>14.342235410484669</v>
      </c>
      <c r="N3" s="48">
        <f t="shared" ref="N3:N10" si="1">+((F3-J3)*50)/C3</f>
        <v>123.14540059347181</v>
      </c>
      <c r="O3" s="48">
        <v>147.63</v>
      </c>
    </row>
    <row r="4" spans="1:15" x14ac:dyDescent="0.25">
      <c r="A4" s="9">
        <v>46048</v>
      </c>
      <c r="B4" s="19" t="s">
        <v>94</v>
      </c>
      <c r="C4" s="6">
        <v>0.20250000000000001</v>
      </c>
      <c r="D4" s="82">
        <v>0.27100000000000002</v>
      </c>
      <c r="E4" s="82">
        <v>3.9E-2</v>
      </c>
      <c r="F4" s="82">
        <v>0.58799999999999997</v>
      </c>
      <c r="G4" s="82">
        <v>7.7549999999999999</v>
      </c>
      <c r="H4" s="83">
        <v>2.5000000000000001E-2</v>
      </c>
      <c r="I4" s="82">
        <v>1E-3</v>
      </c>
      <c r="J4" s="82">
        <v>0.08</v>
      </c>
      <c r="K4" s="82">
        <v>3.3769999999999998</v>
      </c>
      <c r="L4" s="48">
        <f t="shared" ref="L3:L10" si="2">+((D4-H4)*50)/(C4)</f>
        <v>60.74074074074074</v>
      </c>
      <c r="M4" s="48">
        <f>+((E4-I4)*50)/C4</f>
        <v>9.3827160493827151</v>
      </c>
      <c r="N4" s="48">
        <f t="shared" si="1"/>
        <v>125.43209876543209</v>
      </c>
      <c r="O4" s="48">
        <f t="shared" ref="O4:O9" si="3">+((G4-K4)*50)/C4</f>
        <v>1080.9876543209875</v>
      </c>
    </row>
    <row r="5" spans="1:15" x14ac:dyDescent="0.25">
      <c r="A5" s="9">
        <v>46048</v>
      </c>
      <c r="B5" s="19" t="s">
        <v>95</v>
      </c>
      <c r="C5" s="6">
        <v>0.2021</v>
      </c>
      <c r="D5" s="82">
        <v>0.22</v>
      </c>
      <c r="E5" s="82">
        <v>2.4E-2</v>
      </c>
      <c r="F5" s="82">
        <v>0.70299999999999996</v>
      </c>
      <c r="G5" s="82">
        <v>3.177</v>
      </c>
      <c r="H5" s="83">
        <v>2.5000000000000001E-2</v>
      </c>
      <c r="I5" s="82">
        <v>1E-3</v>
      </c>
      <c r="J5" s="82">
        <v>0.08</v>
      </c>
      <c r="K5" s="82">
        <v>3.3769999999999998</v>
      </c>
      <c r="L5" s="48">
        <f t="shared" si="2"/>
        <v>48.243443839683323</v>
      </c>
      <c r="M5" s="48">
        <f t="shared" si="0"/>
        <v>5.6902523503216225</v>
      </c>
      <c r="N5" s="48">
        <f>+((F5-J5)*50)/C5</f>
        <v>154.13161801088569</v>
      </c>
      <c r="O5" s="48">
        <v>49.48</v>
      </c>
    </row>
    <row r="6" spans="1:15" x14ac:dyDescent="0.25">
      <c r="A6" s="9">
        <v>46048</v>
      </c>
      <c r="B6" s="19" t="s">
        <v>96</v>
      </c>
      <c r="C6" s="6">
        <v>0.2029</v>
      </c>
      <c r="D6" s="82">
        <v>0.125</v>
      </c>
      <c r="E6" s="82">
        <v>2.3E-2</v>
      </c>
      <c r="F6" s="82">
        <v>0.71199999999999997</v>
      </c>
      <c r="G6" s="82">
        <v>7.6790000000000003</v>
      </c>
      <c r="H6" s="83">
        <v>2.5000000000000001E-2</v>
      </c>
      <c r="I6" s="82">
        <v>1E-3</v>
      </c>
      <c r="J6" s="82">
        <v>0.08</v>
      </c>
      <c r="K6" s="82">
        <v>3.3769999999999998</v>
      </c>
      <c r="L6" s="48">
        <f t="shared" si="2"/>
        <v>24.642681123706261</v>
      </c>
      <c r="M6" s="48">
        <f t="shared" si="0"/>
        <v>5.4213898472153765</v>
      </c>
      <c r="N6" s="48">
        <f t="shared" si="1"/>
        <v>155.74174470182356</v>
      </c>
      <c r="O6" s="48">
        <f>+((G6-K6)*50)/C6</f>
        <v>1060.1281419418433</v>
      </c>
    </row>
    <row r="7" spans="1:15" x14ac:dyDescent="0.25">
      <c r="A7" s="9">
        <v>46048</v>
      </c>
      <c r="B7" s="19" t="s">
        <v>97</v>
      </c>
      <c r="C7" s="6">
        <v>0.20219999999999999</v>
      </c>
      <c r="D7" s="82">
        <v>0.13700000000000001</v>
      </c>
      <c r="E7" s="82">
        <v>0.03</v>
      </c>
      <c r="F7" s="82">
        <v>0.56399999999999995</v>
      </c>
      <c r="G7" s="82">
        <v>8.1449999999999996</v>
      </c>
      <c r="H7" s="83">
        <v>2.5000000000000001E-2</v>
      </c>
      <c r="I7" s="82">
        <v>1E-3</v>
      </c>
      <c r="J7" s="82">
        <v>0.08</v>
      </c>
      <c r="K7" s="82">
        <v>3.3769999999999998</v>
      </c>
      <c r="L7" s="48">
        <f t="shared" si="2"/>
        <v>27.695351137487641</v>
      </c>
      <c r="M7" s="48">
        <f t="shared" si="0"/>
        <v>7.1711177052423345</v>
      </c>
      <c r="N7" s="48">
        <f t="shared" si="1"/>
        <v>119.68348170128584</v>
      </c>
      <c r="O7" s="48">
        <f t="shared" si="3"/>
        <v>1179.0306627101879</v>
      </c>
    </row>
    <row r="8" spans="1:15" x14ac:dyDescent="0.25">
      <c r="A8" s="9">
        <v>46048</v>
      </c>
      <c r="B8" s="19" t="s">
        <v>98</v>
      </c>
      <c r="C8" s="6">
        <v>0.20100000000000001</v>
      </c>
      <c r="D8" s="82">
        <v>0.13900000000000001</v>
      </c>
      <c r="E8" s="82">
        <v>3.4000000000000002E-2</v>
      </c>
      <c r="F8" s="82">
        <v>0.70199999999999996</v>
      </c>
      <c r="G8" s="82">
        <v>8.9049999999999994</v>
      </c>
      <c r="H8" s="83">
        <v>2.5000000000000001E-2</v>
      </c>
      <c r="I8" s="82">
        <v>1E-3</v>
      </c>
      <c r="J8" s="82">
        <v>0.08</v>
      </c>
      <c r="K8" s="82">
        <v>3.3769999999999998</v>
      </c>
      <c r="L8" s="48">
        <f t="shared" si="2"/>
        <v>28.358208955223883</v>
      </c>
      <c r="M8" s="48">
        <f t="shared" si="0"/>
        <v>8.2089552238805972</v>
      </c>
      <c r="N8" s="48">
        <f t="shared" si="1"/>
        <v>154.72636815920399</v>
      </c>
      <c r="O8" s="48">
        <f t="shared" si="3"/>
        <v>1375.1243781094524</v>
      </c>
    </row>
    <row r="9" spans="1:15" x14ac:dyDescent="0.25">
      <c r="A9" s="9">
        <v>46048</v>
      </c>
      <c r="B9" s="19" t="s">
        <v>99</v>
      </c>
      <c r="C9" s="6">
        <v>0.20250000000000001</v>
      </c>
      <c r="D9" s="82">
        <v>0.28699999999999998</v>
      </c>
      <c r="E9" s="82">
        <v>3.3000000000000002E-2</v>
      </c>
      <c r="F9" s="82">
        <v>0.67700000000000005</v>
      </c>
      <c r="G9" s="82">
        <v>3.653</v>
      </c>
      <c r="H9" s="83">
        <v>2.5000000000000001E-2</v>
      </c>
      <c r="I9" s="82">
        <v>1E-3</v>
      </c>
      <c r="J9" s="82">
        <v>0.08</v>
      </c>
      <c r="K9" s="82">
        <v>3.3769999999999998</v>
      </c>
      <c r="L9" s="48">
        <f t="shared" si="2"/>
        <v>64.69135802469134</v>
      </c>
      <c r="M9" s="48">
        <f t="shared" si="0"/>
        <v>7.9012345679012341</v>
      </c>
      <c r="N9" s="48">
        <f t="shared" si="1"/>
        <v>147.40740740740742</v>
      </c>
      <c r="O9" s="48">
        <f t="shared" si="3"/>
        <v>68.148148148148195</v>
      </c>
    </row>
    <row r="10" spans="1:15" x14ac:dyDescent="0.25">
      <c r="A10" s="9">
        <v>46048</v>
      </c>
      <c r="B10" s="19" t="s">
        <v>100</v>
      </c>
      <c r="C10" s="6">
        <v>0.2006</v>
      </c>
      <c r="D10" s="82">
        <v>0.28000000000000003</v>
      </c>
      <c r="E10" s="82">
        <v>2.5000000000000001E-2</v>
      </c>
      <c r="F10" s="82">
        <v>0.64900000000000002</v>
      </c>
      <c r="G10" s="82">
        <v>2.5960000000000001</v>
      </c>
      <c r="H10" s="83">
        <v>2.5000000000000001E-2</v>
      </c>
      <c r="I10" s="82">
        <v>1E-3</v>
      </c>
      <c r="J10" s="82">
        <v>0.08</v>
      </c>
      <c r="K10" s="82">
        <v>3.3769999999999998</v>
      </c>
      <c r="L10" s="48">
        <f t="shared" si="2"/>
        <v>63.559322033898304</v>
      </c>
      <c r="M10" s="48">
        <f t="shared" si="0"/>
        <v>5.9820538384845463</v>
      </c>
      <c r="N10" s="48">
        <f t="shared" si="1"/>
        <v>141.82452642073781</v>
      </c>
      <c r="O10" s="48">
        <v>194.67</v>
      </c>
    </row>
    <row r="11" spans="1:15" x14ac:dyDescent="0.25">
      <c r="A11" s="41">
        <v>46057</v>
      </c>
      <c r="B11" s="19" t="s">
        <v>18</v>
      </c>
      <c r="C11" s="6">
        <v>0.2505</v>
      </c>
      <c r="D11" s="82">
        <v>0.10100000000000001</v>
      </c>
      <c r="E11" s="82">
        <v>0.104</v>
      </c>
      <c r="F11" s="82">
        <v>0.64300000000000002</v>
      </c>
      <c r="G11" s="82">
        <v>8.8859999999999992</v>
      </c>
      <c r="H11" s="82">
        <v>1.7999999999999999E-2</v>
      </c>
      <c r="I11" s="82">
        <v>8.9999999999999993E-3</v>
      </c>
      <c r="J11" s="82">
        <v>0.214</v>
      </c>
      <c r="K11" s="82">
        <v>0.90200000000000002</v>
      </c>
      <c r="L11" s="57">
        <f t="shared" ref="L11" si="4">+((D11-H11)*50)/(C11)</f>
        <v>16.56686626746507</v>
      </c>
      <c r="M11" s="57">
        <f t="shared" ref="M11" si="5">+((E11-I11)*50)/C11</f>
        <v>18.962075848303392</v>
      </c>
      <c r="N11" s="57">
        <f t="shared" ref="N11" si="6">+((F11-J11)*50)/C11</f>
        <v>85.628742514970071</v>
      </c>
      <c r="O11" s="57">
        <f t="shared" ref="O11" si="7">+((G11-K11)*50)/C11</f>
        <v>1593.6127744510975</v>
      </c>
    </row>
    <row r="12" spans="1:15" x14ac:dyDescent="0.25">
      <c r="A12" s="9">
        <v>46112</v>
      </c>
      <c r="B12" s="19" t="s">
        <v>18</v>
      </c>
      <c r="C12" s="81">
        <v>0.253</v>
      </c>
      <c r="D12" s="82">
        <v>0.19</v>
      </c>
      <c r="E12" s="82">
        <v>5.8000000000000003E-2</v>
      </c>
      <c r="F12" s="82">
        <v>1.0129999999999999</v>
      </c>
      <c r="G12" s="82">
        <v>7.3259999999999996</v>
      </c>
      <c r="H12" s="82">
        <v>0</v>
      </c>
      <c r="I12" s="82">
        <v>0</v>
      </c>
      <c r="J12" s="82">
        <v>0.186</v>
      </c>
      <c r="K12" s="82">
        <v>0</v>
      </c>
      <c r="L12" s="48">
        <f>+((D12-H12)*50)/(C12)</f>
        <v>37.549407114624508</v>
      </c>
      <c r="M12" s="48">
        <f>+((E12-I12)*50)/C12</f>
        <v>11.462450592885377</v>
      </c>
      <c r="N12" s="48">
        <f>+((F12-J12)*50)/C12</f>
        <v>163.4387351778656</v>
      </c>
      <c r="O12" s="48">
        <f>+((G12-K12)*50)/C12</f>
        <v>1447.8260869565215</v>
      </c>
    </row>
    <row r="13" spans="1:15" x14ac:dyDescent="0.25">
      <c r="A13" s="9">
        <v>46127</v>
      </c>
      <c r="B13" s="19" t="s">
        <v>18</v>
      </c>
      <c r="C13" s="6">
        <v>0.25380000000000003</v>
      </c>
      <c r="D13" s="82">
        <v>0.34599999999999997</v>
      </c>
      <c r="E13" s="82">
        <v>4.7E-2</v>
      </c>
      <c r="F13" s="82">
        <v>0.54300000000000004</v>
      </c>
      <c r="G13" s="82">
        <v>6.1340000000000003</v>
      </c>
      <c r="H13" s="82">
        <v>0.122</v>
      </c>
      <c r="I13" s="82">
        <v>5.0000000000000001E-3</v>
      </c>
      <c r="J13" s="82">
        <v>0.22900000000000001</v>
      </c>
      <c r="K13" s="82">
        <v>0</v>
      </c>
      <c r="L13" s="48">
        <f t="shared" ref="L13" si="8">+((D13-H13)*50)/(C13)</f>
        <v>44.129235618597313</v>
      </c>
      <c r="M13" s="48">
        <f t="shared" ref="M13" si="9">+((E13-I13)*50)/C13</f>
        <v>8.2742316784869967</v>
      </c>
      <c r="N13" s="48">
        <f t="shared" ref="N13" si="10">+((F13-J13)*50)/C13</f>
        <v>61.859732072498034</v>
      </c>
      <c r="O13" s="48">
        <f t="shared" ref="O13" si="11">+((G13-K13)*50)/C13</f>
        <v>1208.4318360914106</v>
      </c>
    </row>
    <row r="14" spans="1:15" x14ac:dyDescent="0.25">
      <c r="C14" s="6"/>
    </row>
  </sheetData>
  <mergeCells count="1">
    <mergeCell ref="B1:O1"/>
  </mergeCells>
  <phoneticPr fontId="2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19"/>
  <sheetViews>
    <sheetView workbookViewId="0">
      <pane ySplit="4" topLeftCell="A5" activePane="bottomLeft" state="frozen"/>
      <selection pane="bottomLeft" activeCell="J16" sqref="J16"/>
    </sheetView>
  </sheetViews>
  <sheetFormatPr baseColWidth="10" defaultColWidth="9.140625" defaultRowHeight="15.75" x14ac:dyDescent="0.25"/>
  <cols>
    <col min="1" max="1" width="13.7109375" customWidth="1"/>
    <col min="2" max="2" width="20.42578125" customWidth="1"/>
    <col min="3" max="3" width="11.85546875" style="4" bestFit="1" customWidth="1"/>
    <col min="4" max="4" width="11.85546875" bestFit="1" customWidth="1"/>
    <col min="5" max="5" width="11.85546875" style="4" bestFit="1" customWidth="1"/>
    <col min="6" max="6" width="9.5703125" bestFit="1" customWidth="1"/>
    <col min="7" max="7" width="17.7109375" bestFit="1" customWidth="1"/>
  </cols>
  <sheetData>
    <row r="1" spans="1:7" ht="16.5" customHeight="1" x14ac:dyDescent="0.25">
      <c r="A1" s="74" t="s">
        <v>32</v>
      </c>
      <c r="B1" s="74"/>
      <c r="C1" s="74"/>
      <c r="D1" s="74"/>
      <c r="E1" s="74"/>
      <c r="F1" s="74"/>
      <c r="G1" s="74"/>
    </row>
    <row r="2" spans="1:7" thickBot="1" x14ac:dyDescent="0.3">
      <c r="A2" s="75"/>
      <c r="B2" s="75"/>
      <c r="C2" s="75"/>
      <c r="D2" s="75"/>
      <c r="E2" s="75"/>
      <c r="F2" s="75"/>
      <c r="G2" s="75"/>
    </row>
    <row r="3" spans="1:7" s="19" customFormat="1" thickBot="1" x14ac:dyDescent="0.3">
      <c r="A3" s="16" t="s">
        <v>33</v>
      </c>
      <c r="B3" s="17" t="s">
        <v>34</v>
      </c>
      <c r="C3" s="18" t="s">
        <v>3</v>
      </c>
      <c r="D3" s="18" t="s">
        <v>35</v>
      </c>
      <c r="E3" s="18" t="s">
        <v>35</v>
      </c>
      <c r="F3" s="18" t="s">
        <v>36</v>
      </c>
      <c r="G3" s="18" t="s">
        <v>37</v>
      </c>
    </row>
    <row r="4" spans="1:7" s="19" customFormat="1" ht="16.5" thickBot="1" x14ac:dyDescent="0.3">
      <c r="A4" s="20" t="s">
        <v>38</v>
      </c>
      <c r="B4" s="17"/>
      <c r="C4" s="7"/>
      <c r="D4" s="18" t="s">
        <v>39</v>
      </c>
      <c r="E4" s="18" t="s">
        <v>40</v>
      </c>
      <c r="F4" s="18"/>
      <c r="G4" s="21"/>
    </row>
    <row r="5" spans="1:7" x14ac:dyDescent="0.25">
      <c r="A5" s="26">
        <v>46056</v>
      </c>
      <c r="B5" s="19" t="s">
        <v>93</v>
      </c>
      <c r="C5" s="4">
        <v>0.20250000000000001</v>
      </c>
      <c r="D5" s="5">
        <v>0</v>
      </c>
      <c r="E5" s="4">
        <v>20</v>
      </c>
      <c r="F5" s="42">
        <f t="shared" ref="F5:F8" si="0">+((E5-D5)*0.0099779*1.408/C5)</f>
        <v>1.3875440197530862</v>
      </c>
    </row>
    <row r="6" spans="1:7" x14ac:dyDescent="0.25">
      <c r="A6" s="26">
        <v>46056</v>
      </c>
      <c r="B6" s="19" t="s">
        <v>94</v>
      </c>
      <c r="C6" s="4">
        <v>0.20100000000000001</v>
      </c>
      <c r="D6" s="5">
        <v>0</v>
      </c>
      <c r="E6" s="4">
        <v>20.399999999999999</v>
      </c>
      <c r="F6" s="42">
        <f t="shared" si="0"/>
        <v>1.4258568023880593</v>
      </c>
    </row>
    <row r="7" spans="1:7" x14ac:dyDescent="0.25">
      <c r="A7" s="26">
        <v>46056</v>
      </c>
      <c r="B7" s="19" t="s">
        <v>95</v>
      </c>
      <c r="C7" s="4">
        <v>0.20250000000000001</v>
      </c>
      <c r="D7" s="5">
        <v>0</v>
      </c>
      <c r="E7" s="4">
        <v>21.7</v>
      </c>
      <c r="F7" s="42">
        <f t="shared" si="0"/>
        <v>1.5054852614320984</v>
      </c>
    </row>
    <row r="8" spans="1:7" x14ac:dyDescent="0.25">
      <c r="A8" s="26">
        <v>46056</v>
      </c>
      <c r="B8" s="19" t="s">
        <v>96</v>
      </c>
      <c r="C8" s="4">
        <v>0.2006</v>
      </c>
      <c r="D8" s="5">
        <v>0</v>
      </c>
      <c r="E8" s="4">
        <v>20.9</v>
      </c>
      <c r="F8" s="42">
        <f t="shared" si="0"/>
        <v>1.4637171429710867</v>
      </c>
    </row>
    <row r="9" spans="1:7" x14ac:dyDescent="0.25">
      <c r="A9" s="26">
        <v>46057</v>
      </c>
      <c r="B9" s="4" t="s">
        <v>41</v>
      </c>
      <c r="C9" s="4">
        <v>0.1053</v>
      </c>
      <c r="D9" s="5">
        <v>0.1</v>
      </c>
      <c r="E9" s="4">
        <v>30.3</v>
      </c>
      <c r="F9" s="47">
        <f>+((E9-D9)*0.0101*1.408/C9)</f>
        <v>4.0785200379867037</v>
      </c>
      <c r="G9" s="50" t="s">
        <v>42</v>
      </c>
    </row>
    <row r="10" spans="1:7" x14ac:dyDescent="0.25">
      <c r="A10" s="26">
        <v>46057</v>
      </c>
      <c r="B10" s="4" t="s">
        <v>43</v>
      </c>
      <c r="C10" s="4">
        <v>0.1051</v>
      </c>
      <c r="D10" s="5">
        <v>0.1</v>
      </c>
      <c r="E10" s="4">
        <v>27.9</v>
      </c>
      <c r="F10" s="25">
        <f t="shared" ref="F10:F13" si="1">+((E10-D10)*0.0101*1.408/C10)</f>
        <v>3.7615436726926732</v>
      </c>
    </row>
    <row r="11" spans="1:7" x14ac:dyDescent="0.25">
      <c r="A11" s="26">
        <v>46057</v>
      </c>
      <c r="B11" s="4" t="s">
        <v>44</v>
      </c>
      <c r="C11" s="4">
        <v>0.1046</v>
      </c>
      <c r="D11" s="5">
        <v>0.1</v>
      </c>
      <c r="E11" s="4">
        <v>31.2</v>
      </c>
      <c r="F11" s="25">
        <f t="shared" si="1"/>
        <v>4.2281728489483736</v>
      </c>
    </row>
    <row r="12" spans="1:7" x14ac:dyDescent="0.25">
      <c r="A12" s="26">
        <v>46057</v>
      </c>
      <c r="B12" s="4" t="s">
        <v>45</v>
      </c>
      <c r="C12" s="4">
        <v>0.10539999999999999</v>
      </c>
      <c r="D12" s="5">
        <v>0.1</v>
      </c>
      <c r="E12" s="4">
        <v>31.5</v>
      </c>
      <c r="F12" s="25">
        <f t="shared" si="1"/>
        <v>4.236557115749525</v>
      </c>
    </row>
    <row r="13" spans="1:7" x14ac:dyDescent="0.25">
      <c r="A13" s="26">
        <v>46057</v>
      </c>
      <c r="B13" s="4" t="s">
        <v>46</v>
      </c>
      <c r="C13" s="4">
        <v>0.1027</v>
      </c>
      <c r="D13" s="5">
        <v>0.1</v>
      </c>
      <c r="E13" s="4">
        <v>30.5</v>
      </c>
      <c r="F13" s="25">
        <f t="shared" si="1"/>
        <v>4.2094675754625115</v>
      </c>
    </row>
    <row r="14" spans="1:7" x14ac:dyDescent="0.25">
      <c r="A14" s="26">
        <v>46057</v>
      </c>
      <c r="B14" s="4" t="s">
        <v>41</v>
      </c>
      <c r="C14" s="4">
        <v>0.1021</v>
      </c>
      <c r="D14" s="5">
        <v>0.3</v>
      </c>
      <c r="E14" s="4">
        <v>30.5</v>
      </c>
      <c r="F14" s="43">
        <f>+((E14-D14)*0.0101*1.408/C14)</f>
        <v>4.2063482859941228</v>
      </c>
    </row>
    <row r="15" spans="1:7" x14ac:dyDescent="0.25">
      <c r="A15" s="26">
        <v>46057</v>
      </c>
      <c r="B15" s="4" t="s">
        <v>47</v>
      </c>
      <c r="C15" s="4">
        <v>0.1011</v>
      </c>
      <c r="D15" s="5">
        <v>0.3</v>
      </c>
      <c r="E15" s="4">
        <v>30.1</v>
      </c>
      <c r="F15" s="25">
        <f t="shared" ref="F15:F19" si="2">+((E15-D15)*0.0101*1.408/C15)</f>
        <v>4.191689812067259</v>
      </c>
    </row>
    <row r="16" spans="1:7" x14ac:dyDescent="0.25">
      <c r="A16" s="26">
        <v>46057</v>
      </c>
      <c r="B16" s="4" t="s">
        <v>48</v>
      </c>
      <c r="C16" s="4">
        <v>0.1041</v>
      </c>
      <c r="D16" s="5">
        <v>0.3</v>
      </c>
      <c r="E16" s="4">
        <v>30.5</v>
      </c>
      <c r="F16" s="25">
        <f t="shared" si="2"/>
        <v>4.1255346781940432</v>
      </c>
    </row>
    <row r="17" spans="1:6" x14ac:dyDescent="0.25">
      <c r="A17" s="26">
        <v>46065</v>
      </c>
      <c r="B17" s="4" t="s">
        <v>41</v>
      </c>
      <c r="C17" s="4">
        <v>0.104</v>
      </c>
      <c r="D17" s="5">
        <v>0.2</v>
      </c>
      <c r="E17" s="4">
        <v>30.2</v>
      </c>
      <c r="F17" s="25">
        <f t="shared" si="2"/>
        <v>4.102153846153846</v>
      </c>
    </row>
    <row r="18" spans="1:6" x14ac:dyDescent="0.25">
      <c r="A18" s="26">
        <v>46065</v>
      </c>
      <c r="B18" s="19" t="s">
        <v>97</v>
      </c>
      <c r="C18" s="4">
        <v>0.2029</v>
      </c>
      <c r="D18" s="5">
        <v>0.2</v>
      </c>
      <c r="E18" s="4">
        <v>4.8</v>
      </c>
      <c r="F18" s="25">
        <f t="shared" si="2"/>
        <v>0.32240354854608178</v>
      </c>
    </row>
    <row r="19" spans="1:6" x14ac:dyDescent="0.25">
      <c r="A19" s="26">
        <v>46065</v>
      </c>
      <c r="B19" s="19" t="s">
        <v>98</v>
      </c>
      <c r="C19" s="4">
        <v>0.20330000000000001</v>
      </c>
      <c r="D19" s="5">
        <v>0.2</v>
      </c>
      <c r="E19" s="4">
        <v>4.7</v>
      </c>
      <c r="F19" s="25">
        <f t="shared" si="2"/>
        <v>0.31477422528283322</v>
      </c>
    </row>
  </sheetData>
  <mergeCells count="1">
    <mergeCell ref="A1:G2"/>
  </mergeCells>
  <phoneticPr fontId="2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399"/>
  </sheetPr>
  <dimension ref="A1:I18"/>
  <sheetViews>
    <sheetView zoomScaleNormal="100" workbookViewId="0">
      <selection activeCell="E19" sqref="E19"/>
    </sheetView>
  </sheetViews>
  <sheetFormatPr baseColWidth="10" defaultColWidth="11.42578125" defaultRowHeight="15" x14ac:dyDescent="0.25"/>
  <cols>
    <col min="1" max="1" width="11.85546875" bestFit="1" customWidth="1"/>
    <col min="2" max="2" width="22" customWidth="1"/>
    <col min="3" max="3" width="16.85546875" customWidth="1"/>
    <col min="5" max="5" width="17.140625" style="5" customWidth="1"/>
    <col min="6" max="6" width="11.5703125" bestFit="1" customWidth="1"/>
  </cols>
  <sheetData>
    <row r="1" spans="1:9" x14ac:dyDescent="0.25">
      <c r="B1" s="60" t="s">
        <v>49</v>
      </c>
      <c r="C1" s="60"/>
      <c r="D1" s="60"/>
      <c r="E1" s="60"/>
      <c r="F1" s="60"/>
      <c r="G1" s="60"/>
      <c r="H1" s="60"/>
      <c r="I1" s="60"/>
    </row>
    <row r="2" spans="1:9" x14ac:dyDescent="0.25">
      <c r="B2" s="60"/>
      <c r="C2" s="60"/>
      <c r="D2" s="60"/>
      <c r="E2" s="60"/>
      <c r="F2" s="60"/>
      <c r="G2" s="60"/>
      <c r="H2" s="60"/>
      <c r="I2" s="60"/>
    </row>
    <row r="3" spans="1:9" ht="15" customHeight="1" x14ac:dyDescent="0.25">
      <c r="B3" s="60"/>
      <c r="C3" s="60"/>
      <c r="D3" s="60"/>
      <c r="E3" s="60"/>
      <c r="F3" s="60"/>
      <c r="G3" s="60"/>
      <c r="H3" s="60"/>
      <c r="I3" s="60"/>
    </row>
    <row r="4" spans="1:9" ht="15" customHeight="1" x14ac:dyDescent="0.25">
      <c r="B4" s="60"/>
      <c r="C4" s="60"/>
      <c r="D4" s="60"/>
      <c r="E4" s="60"/>
      <c r="F4" s="60"/>
      <c r="G4" s="60"/>
      <c r="H4" s="60"/>
      <c r="I4" s="60"/>
    </row>
    <row r="6" spans="1:9" ht="15.75" thickBot="1" x14ac:dyDescent="0.3"/>
    <row r="7" spans="1:9" ht="15.75" thickBot="1" x14ac:dyDescent="0.3">
      <c r="A7" s="10" t="s">
        <v>33</v>
      </c>
      <c r="B7" s="11" t="s">
        <v>50</v>
      </c>
      <c r="C7" s="12" t="s">
        <v>51</v>
      </c>
      <c r="D7" s="13" t="s">
        <v>52</v>
      </c>
      <c r="E7" s="14" t="s">
        <v>53</v>
      </c>
      <c r="F7" s="12" t="s">
        <v>54</v>
      </c>
      <c r="G7" s="15" t="s">
        <v>55</v>
      </c>
    </row>
    <row r="8" spans="1:9" ht="15.75" x14ac:dyDescent="0.25">
      <c r="A8" s="26">
        <v>46128</v>
      </c>
      <c r="B8" s="19" t="s">
        <v>18</v>
      </c>
      <c r="C8" s="81">
        <v>0.25380000000000003</v>
      </c>
      <c r="D8" s="23">
        <v>0</v>
      </c>
      <c r="E8" s="23">
        <v>0.52600000000000002</v>
      </c>
      <c r="F8" s="48">
        <f>(E8-D8)/0.0329</f>
        <v>15.987841945288755</v>
      </c>
      <c r="G8" s="56">
        <f>((F8*0.005)/C8)</f>
        <v>0.31496930546274143</v>
      </c>
      <c r="H8" s="24" t="s">
        <v>56</v>
      </c>
    </row>
    <row r="9" spans="1:9" ht="15.75" x14ac:dyDescent="0.25">
      <c r="B9" s="19" t="s">
        <v>93</v>
      </c>
      <c r="C9" s="6">
        <v>0.50529999999999997</v>
      </c>
      <c r="D9" s="23">
        <v>0</v>
      </c>
      <c r="E9" s="23">
        <v>6.5000000000000002E-2</v>
      </c>
      <c r="F9" s="48">
        <f t="shared" ref="F9:F16" si="0">(E9-D9)/0.0329</f>
        <v>1.9756838905775078</v>
      </c>
      <c r="G9" s="48">
        <f t="shared" ref="G9:G16" si="1">((F9*0.005)/C9)</f>
        <v>1.9549613007891431E-2</v>
      </c>
      <c r="H9" s="19">
        <v>2</v>
      </c>
      <c r="I9" s="46">
        <v>0.08</v>
      </c>
    </row>
    <row r="10" spans="1:9" ht="15.75" x14ac:dyDescent="0.25">
      <c r="B10" s="19" t="s">
        <v>94</v>
      </c>
      <c r="C10" s="6">
        <v>0.504</v>
      </c>
      <c r="D10" s="23">
        <v>0</v>
      </c>
      <c r="E10" s="23">
        <v>5.2999999999999999E-2</v>
      </c>
      <c r="F10" s="48">
        <f t="shared" si="0"/>
        <v>1.6109422492401215</v>
      </c>
      <c r="G10" s="48">
        <f t="shared" si="1"/>
        <v>1.5981569932937714E-2</v>
      </c>
      <c r="H10" s="19">
        <v>2</v>
      </c>
      <c r="I10" s="46">
        <v>8.3000000000000004E-2</v>
      </c>
    </row>
    <row r="11" spans="1:9" ht="15.75" x14ac:dyDescent="0.25">
      <c r="B11" s="19" t="s">
        <v>95</v>
      </c>
      <c r="C11" s="6">
        <v>0.50290000000000001</v>
      </c>
      <c r="D11" s="23">
        <v>0</v>
      </c>
      <c r="E11" s="23">
        <v>5.8999999999999997E-2</v>
      </c>
      <c r="F11" s="48">
        <f t="shared" si="0"/>
        <v>1.7933130699088147</v>
      </c>
      <c r="G11" s="48">
        <f t="shared" si="1"/>
        <v>1.7829718332758149E-2</v>
      </c>
      <c r="H11" s="19">
        <v>4</v>
      </c>
      <c r="I11" s="46">
        <v>0.17799999999999999</v>
      </c>
    </row>
    <row r="12" spans="1:9" ht="15.75" x14ac:dyDescent="0.25">
      <c r="B12" s="19" t="s">
        <v>96</v>
      </c>
      <c r="C12" s="6">
        <v>0.50460000000000005</v>
      </c>
      <c r="D12" s="23">
        <v>0</v>
      </c>
      <c r="E12" s="23">
        <v>4.3999999999999997E-2</v>
      </c>
      <c r="F12" s="48">
        <f t="shared" si="0"/>
        <v>1.337386018237082</v>
      </c>
      <c r="G12" s="48">
        <f t="shared" si="1"/>
        <v>1.3251942313090388E-2</v>
      </c>
      <c r="H12" s="19">
        <v>4</v>
      </c>
      <c r="I12" s="46">
        <v>0.18099999999999999</v>
      </c>
    </row>
    <row r="13" spans="1:9" ht="15.75" x14ac:dyDescent="0.25">
      <c r="B13" s="19" t="s">
        <v>97</v>
      </c>
      <c r="C13" s="6">
        <v>0.50639999999999996</v>
      </c>
      <c r="D13" s="23">
        <v>0</v>
      </c>
      <c r="E13" s="23">
        <v>0.23200000000000001</v>
      </c>
      <c r="F13" s="48">
        <f t="shared" si="0"/>
        <v>7.0516717325227969</v>
      </c>
      <c r="G13" s="48">
        <f t="shared" si="1"/>
        <v>6.9625510787152428E-2</v>
      </c>
      <c r="H13" s="19">
        <v>8</v>
      </c>
      <c r="I13" s="46">
        <v>0.35199999999999998</v>
      </c>
    </row>
    <row r="14" spans="1:9" ht="15.75" x14ac:dyDescent="0.25">
      <c r="B14" s="19" t="s">
        <v>98</v>
      </c>
      <c r="C14" s="6">
        <v>0.50509999999999999</v>
      </c>
      <c r="D14" s="23">
        <v>0</v>
      </c>
      <c r="E14" s="23">
        <v>0.23</v>
      </c>
      <c r="F14" s="48">
        <f t="shared" si="0"/>
        <v>6.990881458966566</v>
      </c>
      <c r="G14" s="48">
        <f>((F14*0.005)/C14)</f>
        <v>6.9202944555202595E-2</v>
      </c>
      <c r="H14" s="19">
        <v>8</v>
      </c>
      <c r="I14" s="46">
        <v>0.35499999999999998</v>
      </c>
    </row>
    <row r="15" spans="1:9" ht="15.75" x14ac:dyDescent="0.25">
      <c r="B15" s="19" t="s">
        <v>99</v>
      </c>
      <c r="C15" s="6">
        <v>0.50380000000000003</v>
      </c>
      <c r="D15" s="23">
        <v>0</v>
      </c>
      <c r="E15" s="23">
        <v>0.254</v>
      </c>
      <c r="F15" s="48">
        <f t="shared" si="0"/>
        <v>7.7203647416413377</v>
      </c>
      <c r="G15" s="48">
        <f t="shared" si="1"/>
        <v>7.6621325343800492E-2</v>
      </c>
      <c r="H15" s="19">
        <v>16</v>
      </c>
      <c r="I15" s="46">
        <v>0.55800000000000005</v>
      </c>
    </row>
    <row r="16" spans="1:9" ht="15.75" x14ac:dyDescent="0.25">
      <c r="B16" s="19" t="s">
        <v>100</v>
      </c>
      <c r="C16" s="6">
        <v>0.50339999999999996</v>
      </c>
      <c r="D16" s="23">
        <v>0</v>
      </c>
      <c r="E16" s="23">
        <v>0.189</v>
      </c>
      <c r="F16" s="48">
        <f t="shared" si="0"/>
        <v>5.7446808510638299</v>
      </c>
      <c r="G16" s="48">
        <f t="shared" si="1"/>
        <v>5.7058808612076184E-2</v>
      </c>
      <c r="H16" s="19">
        <v>16</v>
      </c>
      <c r="I16" s="46">
        <v>0.54300000000000004</v>
      </c>
    </row>
    <row r="17" spans="8:9" x14ac:dyDescent="0.25">
      <c r="H17" s="19">
        <v>32</v>
      </c>
      <c r="I17" s="46">
        <v>0.999</v>
      </c>
    </row>
    <row r="18" spans="8:9" x14ac:dyDescent="0.25">
      <c r="H18" s="19">
        <v>32</v>
      </c>
      <c r="I18" s="46">
        <v>1.024</v>
      </c>
    </row>
  </sheetData>
  <mergeCells count="1">
    <mergeCell ref="B1:I4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8AB8-D10C-4DA4-979D-478E781EA60D}">
  <sheetPr>
    <tabColor theme="9"/>
  </sheetPr>
  <dimension ref="A1:I16"/>
  <sheetViews>
    <sheetView tabSelected="1" zoomScale="90" zoomScaleNormal="90" workbookViewId="0">
      <selection activeCell="E19" sqref="E19"/>
    </sheetView>
  </sheetViews>
  <sheetFormatPr baseColWidth="10" defaultColWidth="11.42578125" defaultRowHeight="15" x14ac:dyDescent="0.25"/>
  <cols>
    <col min="1" max="1" width="14.140625" customWidth="1"/>
    <col min="2" max="2" width="19.42578125" customWidth="1"/>
    <col min="3" max="5" width="17.7109375" customWidth="1"/>
    <col min="6" max="6" width="17.85546875" customWidth="1"/>
    <col min="7" max="7" width="17.7109375" customWidth="1"/>
    <col min="8" max="8" width="16" customWidth="1"/>
    <col min="9" max="9" width="13.7109375" customWidth="1"/>
  </cols>
  <sheetData>
    <row r="1" spans="1:9" x14ac:dyDescent="0.25">
      <c r="C1" s="78" t="s">
        <v>57</v>
      </c>
      <c r="D1" s="78"/>
      <c r="E1" s="78"/>
      <c r="F1" s="78"/>
    </row>
    <row r="2" spans="1:9" x14ac:dyDescent="0.25">
      <c r="C2" s="78"/>
      <c r="D2" s="78"/>
      <c r="E2" s="78"/>
      <c r="F2" s="78"/>
    </row>
    <row r="3" spans="1:9" x14ac:dyDescent="0.25">
      <c r="C3" s="78"/>
      <c r="D3" s="78"/>
      <c r="E3" s="78"/>
      <c r="F3" s="78"/>
    </row>
    <row r="4" spans="1:9" ht="15.75" thickBot="1" x14ac:dyDescent="0.3"/>
    <row r="5" spans="1:9" ht="15.75" thickBot="1" x14ac:dyDescent="0.3">
      <c r="A5" s="44" t="s">
        <v>33</v>
      </c>
      <c r="B5" s="44" t="s">
        <v>50</v>
      </c>
      <c r="C5" s="37" t="s">
        <v>51</v>
      </c>
      <c r="D5" s="37" t="s">
        <v>52</v>
      </c>
      <c r="E5" s="37" t="s">
        <v>53</v>
      </c>
      <c r="F5" s="45" t="s">
        <v>58</v>
      </c>
      <c r="G5" s="44" t="s">
        <v>59</v>
      </c>
      <c r="H5" s="76" t="s">
        <v>60</v>
      </c>
      <c r="I5" s="77"/>
    </row>
    <row r="6" spans="1:9" ht="16.5" thickBot="1" x14ac:dyDescent="0.3">
      <c r="A6" s="26">
        <v>44950</v>
      </c>
      <c r="B6" s="4" t="s">
        <v>18</v>
      </c>
      <c r="C6" s="19">
        <v>0.50319999999999998</v>
      </c>
      <c r="D6" s="19">
        <v>0</v>
      </c>
      <c r="E6" s="19">
        <v>2.3E-2</v>
      </c>
      <c r="F6" s="42">
        <f>(E6-D6)/0.1414</f>
        <v>0.16265912305516267</v>
      </c>
      <c r="G6" s="47">
        <f>((F6*50)/C6)</f>
        <v>16.162472481633809</v>
      </c>
      <c r="H6" s="38" t="s">
        <v>61</v>
      </c>
      <c r="I6" s="39" t="s">
        <v>53</v>
      </c>
    </row>
    <row r="7" spans="1:9" ht="15.75" x14ac:dyDescent="0.25">
      <c r="B7" s="19" t="s">
        <v>93</v>
      </c>
      <c r="C7" s="19">
        <v>0.50229999999999997</v>
      </c>
      <c r="D7" s="19">
        <v>0</v>
      </c>
      <c r="E7" s="19">
        <v>2.1000000000000001E-2</v>
      </c>
      <c r="F7" s="42">
        <f t="shared" ref="F7:F15" si="0">(E7-D7)/0.1414</f>
        <v>0.14851485148514854</v>
      </c>
      <c r="G7" s="42">
        <f t="shared" ref="G7:G15" si="1">((F7*50)/C7)</f>
        <v>14.78348113529251</v>
      </c>
      <c r="H7" s="3">
        <v>0</v>
      </c>
      <c r="I7" s="23">
        <v>-8.9999999999999993E-3</v>
      </c>
    </row>
    <row r="8" spans="1:9" ht="15.75" x14ac:dyDescent="0.25">
      <c r="B8" s="19" t="s">
        <v>94</v>
      </c>
      <c r="C8" s="19">
        <v>0.50349999999999995</v>
      </c>
      <c r="D8" s="19">
        <v>0</v>
      </c>
      <c r="E8" s="19">
        <v>2.1999999999999999E-2</v>
      </c>
      <c r="F8" s="42">
        <f t="shared" si="0"/>
        <v>0.15558698727015557</v>
      </c>
      <c r="G8" s="42">
        <f t="shared" si="1"/>
        <v>15.450544912627167</v>
      </c>
      <c r="H8" s="3">
        <v>0</v>
      </c>
      <c r="I8" s="23">
        <v>-2E-3</v>
      </c>
    </row>
    <row r="9" spans="1:9" ht="15.75" x14ac:dyDescent="0.25">
      <c r="B9" s="19" t="s">
        <v>95</v>
      </c>
      <c r="C9" s="19">
        <v>0.50080000000000002</v>
      </c>
      <c r="D9" s="19">
        <v>0</v>
      </c>
      <c r="E9" s="19">
        <v>3.4000000000000002E-2</v>
      </c>
      <c r="F9" s="42">
        <f t="shared" si="0"/>
        <v>0.24045261669024048</v>
      </c>
      <c r="G9" s="42">
        <f t="shared" si="1"/>
        <v>24.00685070789142</v>
      </c>
      <c r="H9" s="3">
        <v>0.25</v>
      </c>
      <c r="I9" s="23">
        <v>2.8000000000000001E-2</v>
      </c>
    </row>
    <row r="10" spans="1:9" ht="15.75" x14ac:dyDescent="0.25">
      <c r="B10" s="19" t="s">
        <v>96</v>
      </c>
      <c r="C10" s="19">
        <v>0.50649999999999995</v>
      </c>
      <c r="D10" s="19">
        <v>0</v>
      </c>
      <c r="E10" s="19">
        <v>2.8000000000000001E-2</v>
      </c>
      <c r="F10" s="42">
        <f t="shared" si="0"/>
        <v>0.19801980198019803</v>
      </c>
      <c r="G10" s="42">
        <f t="shared" si="1"/>
        <v>19.547858043454891</v>
      </c>
      <c r="H10" s="3">
        <v>0.25</v>
      </c>
      <c r="I10" s="23">
        <v>0.03</v>
      </c>
    </row>
    <row r="11" spans="1:9" ht="15.75" x14ac:dyDescent="0.25">
      <c r="B11" s="19" t="s">
        <v>97</v>
      </c>
      <c r="C11" s="19">
        <v>0.50239999999999996</v>
      </c>
      <c r="D11" s="19">
        <v>0</v>
      </c>
      <c r="E11" s="19">
        <v>1.7999999999999999E-2</v>
      </c>
      <c r="F11" s="42">
        <f t="shared" si="0"/>
        <v>0.12729844413012728</v>
      </c>
      <c r="G11" s="42">
        <f t="shared" si="1"/>
        <v>12.669033054351841</v>
      </c>
      <c r="H11" s="3">
        <v>0.5</v>
      </c>
      <c r="I11" s="23">
        <v>6.5000000000000002E-2</v>
      </c>
    </row>
    <row r="12" spans="1:9" ht="15.75" x14ac:dyDescent="0.25">
      <c r="B12" s="19" t="s">
        <v>98</v>
      </c>
      <c r="C12" s="19">
        <v>0.50129999999999997</v>
      </c>
      <c r="D12" s="19">
        <v>0</v>
      </c>
      <c r="E12" s="19">
        <v>3.1E-2</v>
      </c>
      <c r="F12" s="42">
        <f t="shared" si="0"/>
        <v>0.21923620933521923</v>
      </c>
      <c r="G12" s="42">
        <f t="shared" si="1"/>
        <v>21.866767338441978</v>
      </c>
      <c r="H12" s="3">
        <v>0.5</v>
      </c>
      <c r="I12" s="23">
        <v>6.6000000000000003E-2</v>
      </c>
    </row>
    <row r="13" spans="1:9" ht="15.75" x14ac:dyDescent="0.25">
      <c r="B13" s="19" t="s">
        <v>99</v>
      </c>
      <c r="C13" s="19">
        <v>0.50190000000000001</v>
      </c>
      <c r="D13" s="19">
        <v>0</v>
      </c>
      <c r="E13" s="19">
        <v>0.03</v>
      </c>
      <c r="F13" s="42">
        <f t="shared" si="0"/>
        <v>0.21216407355021216</v>
      </c>
      <c r="G13" s="42">
        <f t="shared" si="1"/>
        <v>21.1360902122148</v>
      </c>
      <c r="H13" s="3">
        <v>1</v>
      </c>
      <c r="I13" s="23">
        <v>0.13600000000000001</v>
      </c>
    </row>
    <row r="14" spans="1:9" ht="15.75" x14ac:dyDescent="0.25">
      <c r="B14" s="19" t="s">
        <v>100</v>
      </c>
      <c r="C14" s="19">
        <v>0.50370000000000004</v>
      </c>
      <c r="D14" s="19">
        <v>0</v>
      </c>
      <c r="E14" s="19">
        <v>3.4000000000000002E-2</v>
      </c>
      <c r="F14" s="42">
        <f t="shared" si="0"/>
        <v>0.24045261669024048</v>
      </c>
      <c r="G14" s="42">
        <f t="shared" si="1"/>
        <v>23.86863377905901</v>
      </c>
      <c r="H14" s="3">
        <v>1</v>
      </c>
      <c r="I14" s="23">
        <v>0.13600000000000001</v>
      </c>
    </row>
    <row r="15" spans="1:9" ht="15.75" x14ac:dyDescent="0.25">
      <c r="B15" s="19" t="s">
        <v>101</v>
      </c>
      <c r="C15" s="19">
        <v>0.50549999999999995</v>
      </c>
      <c r="D15" s="19">
        <v>0</v>
      </c>
      <c r="E15" s="19">
        <v>0.02</v>
      </c>
      <c r="F15" s="42">
        <f t="shared" si="0"/>
        <v>0.14144271570014144</v>
      </c>
      <c r="G15" s="42">
        <f t="shared" si="1"/>
        <v>13.990377418411617</v>
      </c>
      <c r="H15" s="3">
        <v>2</v>
      </c>
      <c r="I15" s="23">
        <v>0.29399999999999998</v>
      </c>
    </row>
    <row r="16" spans="1:9" ht="15.75" x14ac:dyDescent="0.25">
      <c r="H16" s="3">
        <v>2</v>
      </c>
      <c r="I16" s="23">
        <v>0.28100000000000003</v>
      </c>
    </row>
  </sheetData>
  <mergeCells count="2">
    <mergeCell ref="C1:F3"/>
    <mergeCell ref="H5:I5"/>
  </mergeCells>
  <phoneticPr fontId="20" type="noConversion"/>
  <pageMargins left="0.70866141732283472" right="0.70866141732283472" top="0.35433070866141736" bottom="0.15748031496062992" header="0.31496062992125984" footer="0.31496062992125984"/>
  <pageSetup scale="9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78"/>
  <sheetViews>
    <sheetView workbookViewId="0">
      <selection activeCell="F20" sqref="F20"/>
    </sheetView>
  </sheetViews>
  <sheetFormatPr baseColWidth="10" defaultColWidth="11.42578125" defaultRowHeight="15" x14ac:dyDescent="0.25"/>
  <cols>
    <col min="3" max="3" width="11.5703125" bestFit="1" customWidth="1"/>
    <col min="4" max="4" width="12.5703125" bestFit="1" customWidth="1"/>
    <col min="5" max="5" width="13.5703125" bestFit="1" customWidth="1"/>
    <col min="6" max="6" width="14.5703125" bestFit="1" customWidth="1"/>
  </cols>
  <sheetData>
    <row r="2" spans="2:15" ht="23.25" x14ac:dyDescent="0.35">
      <c r="B2" s="79" t="s">
        <v>62</v>
      </c>
      <c r="C2" s="79"/>
      <c r="D2" s="79"/>
      <c r="E2" s="79"/>
      <c r="F2" s="79"/>
      <c r="G2" s="79"/>
      <c r="H2" s="79"/>
      <c r="I2" s="79"/>
      <c r="J2" s="79"/>
      <c r="K2" s="79"/>
    </row>
    <row r="3" spans="2:15" ht="16.5" thickBot="1" x14ac:dyDescent="0.3">
      <c r="B3" s="28"/>
      <c r="C3" s="80">
        <v>44417</v>
      </c>
      <c r="D3" s="80"/>
      <c r="E3" s="80"/>
      <c r="F3" s="80"/>
      <c r="G3" s="28"/>
      <c r="H3" s="80">
        <v>44424</v>
      </c>
      <c r="I3" s="80"/>
      <c r="J3" s="80"/>
      <c r="K3" s="80"/>
    </row>
    <row r="4" spans="2:15" ht="15.75" thickBot="1" x14ac:dyDescent="0.3">
      <c r="C4" s="2" t="s">
        <v>28</v>
      </c>
      <c r="D4" s="2" t="s">
        <v>29</v>
      </c>
      <c r="E4" s="2" t="s">
        <v>30</v>
      </c>
      <c r="F4" s="2" t="s">
        <v>31</v>
      </c>
      <c r="H4" s="2" t="s">
        <v>28</v>
      </c>
      <c r="I4" s="2" t="s">
        <v>29</v>
      </c>
      <c r="J4" s="2" t="s">
        <v>30</v>
      </c>
      <c r="K4" s="2" t="s">
        <v>31</v>
      </c>
    </row>
    <row r="5" spans="2:15" x14ac:dyDescent="0.25">
      <c r="B5" s="5" t="s">
        <v>16</v>
      </c>
      <c r="C5" s="30">
        <v>15.416666666666666</v>
      </c>
      <c r="D5" s="30">
        <v>15.773809523809524</v>
      </c>
      <c r="E5" s="30">
        <v>107.16269841269842</v>
      </c>
      <c r="F5" s="29">
        <v>1040.4563492063492</v>
      </c>
      <c r="H5" s="30">
        <v>18.406484776591533</v>
      </c>
      <c r="I5" s="29">
        <v>26.235666271253454</v>
      </c>
      <c r="J5" s="29">
        <v>130.11071569790431</v>
      </c>
      <c r="K5" s="30">
        <v>951.50257018584421</v>
      </c>
    </row>
    <row r="6" spans="2:15" x14ac:dyDescent="0.25">
      <c r="B6" s="5" t="s">
        <v>17</v>
      </c>
      <c r="C6" s="29">
        <v>11.627906976744185</v>
      </c>
      <c r="D6" s="30">
        <v>22.21127315727237</v>
      </c>
      <c r="E6" s="29">
        <v>60.228616476152936</v>
      </c>
      <c r="F6" s="29">
        <v>1038.6283011430824</v>
      </c>
      <c r="H6" s="30">
        <v>17.745756020529015</v>
      </c>
      <c r="I6" s="29">
        <v>26.904855902092379</v>
      </c>
      <c r="J6" s="29">
        <v>124.71377812870114</v>
      </c>
      <c r="K6" s="30">
        <v>960.34346624555849</v>
      </c>
    </row>
    <row r="7" spans="2:15" x14ac:dyDescent="0.25">
      <c r="B7" s="28" t="s">
        <v>63</v>
      </c>
      <c r="C7" s="25">
        <v>10.214839864730456</v>
      </c>
      <c r="D7" s="25">
        <v>5.699224189377361</v>
      </c>
      <c r="E7" s="25">
        <v>97.244877660632568</v>
      </c>
      <c r="F7" s="25">
        <v>0.20887209071016508</v>
      </c>
      <c r="H7" s="25">
        <v>3.550237341772152</v>
      </c>
      <c r="I7" s="25">
        <v>21.459651898734176</v>
      </c>
      <c r="J7" s="25">
        <v>96.538765822784796</v>
      </c>
      <c r="K7" s="25">
        <v>15.733781645569618</v>
      </c>
      <c r="L7" s="32"/>
      <c r="M7" s="32"/>
      <c r="N7" s="32"/>
      <c r="O7" s="32"/>
    </row>
    <row r="8" spans="2:15" x14ac:dyDescent="0.25">
      <c r="B8" s="28" t="s">
        <v>64</v>
      </c>
      <c r="C8" s="25">
        <v>10.953044170314364</v>
      </c>
      <c r="D8" s="25">
        <v>-0.15917230401910065</v>
      </c>
      <c r="E8" s="25">
        <v>194.04098686828488</v>
      </c>
      <c r="F8" s="25">
        <v>11.321130123358534</v>
      </c>
      <c r="H8" s="30">
        <v>-6.9586614173228352</v>
      </c>
      <c r="I8" s="25">
        <v>21.899606299212596</v>
      </c>
      <c r="J8" s="25">
        <v>98.6515748031496</v>
      </c>
      <c r="K8" s="25">
        <v>41.062992125984252</v>
      </c>
      <c r="L8" s="32"/>
      <c r="M8" s="32"/>
    </row>
    <row r="9" spans="2:15" x14ac:dyDescent="0.25">
      <c r="B9" s="28" t="s">
        <v>65</v>
      </c>
      <c r="C9" s="25">
        <v>8.9819766290354526</v>
      </c>
      <c r="D9" s="25">
        <v>5.5555555555555545</v>
      </c>
      <c r="E9" s="25">
        <v>352.35690235690237</v>
      </c>
      <c r="F9" s="25">
        <v>2.2479698950287186</v>
      </c>
      <c r="H9" s="25">
        <v>3.5876655465507015</v>
      </c>
      <c r="I9" s="25">
        <v>26.6455821308559</v>
      </c>
      <c r="J9" s="25">
        <v>76.823482901759249</v>
      </c>
      <c r="K9" s="25">
        <v>22.494564143111283</v>
      </c>
      <c r="L9" s="32"/>
      <c r="M9" s="32"/>
    </row>
    <row r="10" spans="2:15" x14ac:dyDescent="0.25">
      <c r="B10" s="28" t="s">
        <v>66</v>
      </c>
      <c r="C10" s="25">
        <v>11.466165413533835</v>
      </c>
      <c r="D10" s="25">
        <v>8.478432924416305</v>
      </c>
      <c r="E10" s="25">
        <v>319.9248120300752</v>
      </c>
      <c r="F10" s="25">
        <v>107.97388207360505</v>
      </c>
      <c r="H10" s="30">
        <v>-4.1617589320769541</v>
      </c>
      <c r="I10" s="25">
        <v>20.229681978798588</v>
      </c>
      <c r="J10" s="25">
        <v>113.57479387514725</v>
      </c>
      <c r="K10" s="25">
        <v>58.460934432665887</v>
      </c>
      <c r="L10" s="32"/>
      <c r="M10" s="32"/>
    </row>
    <row r="11" spans="2:15" x14ac:dyDescent="0.25">
      <c r="B11" s="28" t="s">
        <v>67</v>
      </c>
      <c r="C11" s="25">
        <v>7.1883078146748858</v>
      </c>
      <c r="D11" s="25">
        <v>6.860210777490555</v>
      </c>
      <c r="E11" s="25">
        <v>318.75124279180756</v>
      </c>
      <c r="F11" s="25">
        <v>46.311393915291305</v>
      </c>
      <c r="H11" s="30">
        <v>-5.4613564668769721</v>
      </c>
      <c r="I11" s="25">
        <v>28.815063091482653</v>
      </c>
      <c r="J11" s="25">
        <v>65.132097791798103</v>
      </c>
      <c r="K11" s="25">
        <v>73.21569400630915</v>
      </c>
      <c r="L11" s="32"/>
      <c r="M11" s="32"/>
    </row>
    <row r="12" spans="2:15" x14ac:dyDescent="0.25">
      <c r="B12" s="28" t="s">
        <v>68</v>
      </c>
      <c r="C12" s="25">
        <v>9.3240556660039751</v>
      </c>
      <c r="D12" s="25">
        <v>1.5009940357852882</v>
      </c>
      <c r="E12" s="25">
        <v>123.14115308151094</v>
      </c>
      <c r="F12" s="25">
        <v>31.699801192842944</v>
      </c>
      <c r="H12" s="25">
        <v>1.3828952530404077</v>
      </c>
      <c r="I12" s="25">
        <v>16.732051785013727</v>
      </c>
      <c r="J12" s="25">
        <v>105.07061592781481</v>
      </c>
      <c r="K12" s="25">
        <v>53.177716751667319</v>
      </c>
      <c r="L12" s="32"/>
      <c r="M12" s="32"/>
    </row>
    <row r="13" spans="2:15" x14ac:dyDescent="0.25">
      <c r="B13" s="28" t="s">
        <v>69</v>
      </c>
      <c r="C13" s="25">
        <v>8.3647923703556533</v>
      </c>
      <c r="D13" s="25">
        <v>1.6689847009735745</v>
      </c>
      <c r="E13" s="25">
        <v>220.15696403735348</v>
      </c>
      <c r="F13" s="25">
        <v>23.276375918935031</v>
      </c>
      <c r="H13" s="25">
        <v>0.9932459276916964</v>
      </c>
      <c r="I13" s="25">
        <v>26.31108462455304</v>
      </c>
      <c r="J13" s="25">
        <v>85.329757647993645</v>
      </c>
      <c r="K13" s="25">
        <v>47.348033373063174</v>
      </c>
      <c r="L13" s="32"/>
      <c r="M13" s="32"/>
    </row>
    <row r="14" spans="2:15" x14ac:dyDescent="0.25">
      <c r="B14" s="28" t="s">
        <v>70</v>
      </c>
      <c r="C14" s="25">
        <v>13.235585496334455</v>
      </c>
      <c r="D14" s="25">
        <v>2.6154150980780662</v>
      </c>
      <c r="E14" s="25">
        <v>128.61105607291458</v>
      </c>
      <c r="F14" s="25">
        <v>120.22983950861897</v>
      </c>
      <c r="H14" s="25">
        <v>1.2098373661245538</v>
      </c>
      <c r="I14" s="25">
        <v>32.834192780642603</v>
      </c>
      <c r="J14" s="25">
        <v>110.05553351844506</v>
      </c>
      <c r="K14" s="25">
        <v>57.298690995636655</v>
      </c>
      <c r="L14" s="32"/>
      <c r="M14" s="32"/>
    </row>
    <row r="15" spans="2:15" x14ac:dyDescent="0.25">
      <c r="B15" s="28" t="s">
        <v>71</v>
      </c>
      <c r="C15" s="25">
        <v>8.3596837944664042</v>
      </c>
      <c r="D15" s="25">
        <v>0.45454545454545453</v>
      </c>
      <c r="E15" s="25">
        <v>142.90513833992094</v>
      </c>
      <c r="F15" s="25">
        <v>28.438735177865613</v>
      </c>
      <c r="H15" s="25">
        <v>6.5755595167359857</v>
      </c>
      <c r="I15" s="25">
        <v>21.548821548821547</v>
      </c>
      <c r="J15" s="25">
        <v>204.57516339869278</v>
      </c>
      <c r="K15" s="25">
        <v>76.530005941770654</v>
      </c>
      <c r="L15" s="32"/>
      <c r="M15" s="32"/>
    </row>
    <row r="16" spans="2:15" x14ac:dyDescent="0.25">
      <c r="B16" s="28" t="s">
        <v>72</v>
      </c>
      <c r="C16" s="25">
        <v>10.975124378109456</v>
      </c>
      <c r="D16" s="25">
        <v>5.9701492537313439E-2</v>
      </c>
      <c r="E16" s="25">
        <v>232.76616915422889</v>
      </c>
      <c r="F16" s="25">
        <v>92.825870646766177</v>
      </c>
      <c r="H16" s="25">
        <v>1.846731187043255</v>
      </c>
      <c r="I16" s="25">
        <v>26.772664428204624</v>
      </c>
      <c r="J16" s="25">
        <v>11.821054710645864</v>
      </c>
      <c r="K16" s="25">
        <v>88.159194153663847</v>
      </c>
      <c r="L16" s="32"/>
      <c r="M16" s="32"/>
    </row>
    <row r="17" spans="2:13" x14ac:dyDescent="0.25">
      <c r="B17" s="28" t="s">
        <v>73</v>
      </c>
      <c r="C17" s="25">
        <v>2.7678571428571437</v>
      </c>
      <c r="D17" s="25">
        <v>3.6904761904761902</v>
      </c>
      <c r="E17" s="25">
        <v>86.101190476190482</v>
      </c>
      <c r="F17" s="25">
        <v>101.65674603174602</v>
      </c>
      <c r="H17" s="25">
        <v>5.8031293325410962</v>
      </c>
      <c r="I17" s="25">
        <v>23.22242028124381</v>
      </c>
      <c r="J17" s="25">
        <v>93.503664091899381</v>
      </c>
      <c r="K17" s="25">
        <v>69.102792632204398</v>
      </c>
      <c r="L17" s="32"/>
      <c r="M17" s="32"/>
    </row>
    <row r="18" spans="2:13" x14ac:dyDescent="0.25">
      <c r="B18" s="28" t="s">
        <v>74</v>
      </c>
      <c r="C18" s="25">
        <v>23.208292201382033</v>
      </c>
      <c r="D18" s="25">
        <v>5.834155972359329</v>
      </c>
      <c r="E18" s="25">
        <v>193.5340572556762</v>
      </c>
      <c r="F18" s="25">
        <v>104.66929911154986</v>
      </c>
      <c r="H18" s="25">
        <v>7.0182394924662974</v>
      </c>
      <c r="I18" s="25">
        <v>37.123314829500401</v>
      </c>
      <c r="J18" s="25">
        <v>103.33068992862808</v>
      </c>
      <c r="K18" s="25">
        <v>88.76883425852499</v>
      </c>
      <c r="L18" s="32"/>
      <c r="M18" s="32"/>
    </row>
    <row r="19" spans="2:13" x14ac:dyDescent="0.25">
      <c r="B19" s="28" t="s">
        <v>75</v>
      </c>
      <c r="C19" s="25">
        <v>14.099293563579275</v>
      </c>
      <c r="D19" s="25">
        <v>2.2861067503924644</v>
      </c>
      <c r="E19" s="25">
        <v>299.73508634222918</v>
      </c>
      <c r="F19" s="25">
        <v>18.838304552590266</v>
      </c>
      <c r="H19" s="25">
        <v>2.0323599052880819</v>
      </c>
      <c r="I19" s="25">
        <v>30.031570639305446</v>
      </c>
      <c r="J19" s="25">
        <v>122.52367797947907</v>
      </c>
      <c r="K19" s="25">
        <v>68.932517758484607</v>
      </c>
      <c r="L19" s="32"/>
      <c r="M19" s="32"/>
    </row>
    <row r="20" spans="2:13" x14ac:dyDescent="0.25">
      <c r="B20" s="28" t="s">
        <v>76</v>
      </c>
      <c r="C20" s="25">
        <v>14.691333597150773</v>
      </c>
      <c r="D20" s="25">
        <v>-0.46497823506133762</v>
      </c>
      <c r="E20" s="25">
        <v>106.09418282548478</v>
      </c>
      <c r="F20" s="25">
        <v>72.942223981005142</v>
      </c>
      <c r="H20" s="30">
        <v>-1.9571203776553898</v>
      </c>
      <c r="I20" s="25">
        <v>25.452399685287176</v>
      </c>
      <c r="J20" s="25">
        <v>150.49173878835563</v>
      </c>
      <c r="K20" s="25">
        <v>59.982297403619206</v>
      </c>
      <c r="L20" s="32"/>
      <c r="M20" s="32"/>
    </row>
    <row r="21" spans="2:13" x14ac:dyDescent="0.25">
      <c r="B21" s="28" t="s">
        <v>77</v>
      </c>
      <c r="C21" s="25">
        <v>6.6421031666998616</v>
      </c>
      <c r="D21" s="25">
        <v>38.906592312288389</v>
      </c>
      <c r="E21" s="25">
        <v>251.99163513244375</v>
      </c>
      <c r="F21" s="25">
        <v>49.113722366062539</v>
      </c>
      <c r="H21" s="25">
        <v>4.2719021310181526</v>
      </c>
      <c r="I21" s="25">
        <v>24.408050513022889</v>
      </c>
      <c r="J21" s="25">
        <v>117.60063141278609</v>
      </c>
      <c r="K21" s="25">
        <v>76.03591160220995</v>
      </c>
      <c r="L21" s="32"/>
      <c r="M21" s="32"/>
    </row>
    <row r="22" spans="2:13" x14ac:dyDescent="0.25">
      <c r="B22" s="28" t="s">
        <v>78</v>
      </c>
      <c r="C22" s="25">
        <v>4.8579376117623685</v>
      </c>
      <c r="D22" s="25">
        <v>10.957679316511028</v>
      </c>
      <c r="E22" s="25">
        <v>172.91873634015499</v>
      </c>
      <c r="F22" s="25">
        <v>87.840254321478255</v>
      </c>
      <c r="H22" s="25">
        <v>3.1824471239375369</v>
      </c>
      <c r="I22" s="25">
        <v>22.54398102391777</v>
      </c>
      <c r="J22" s="25">
        <v>102.47084404032417</v>
      </c>
      <c r="K22" s="25">
        <v>74.026487448112277</v>
      </c>
      <c r="L22" s="32"/>
      <c r="M22" s="32"/>
    </row>
    <row r="23" spans="2:13" x14ac:dyDescent="0.25">
      <c r="B23" s="33" t="s">
        <v>79</v>
      </c>
      <c r="C23" s="27">
        <v>8.3316762775899793</v>
      </c>
      <c r="D23" s="27">
        <v>0.57665539868761184</v>
      </c>
      <c r="E23" s="27">
        <v>529.98608073175569</v>
      </c>
      <c r="F23" s="27">
        <v>75.243587194273218</v>
      </c>
      <c r="G23" s="34"/>
      <c r="H23" s="27">
        <v>1.369319309386783</v>
      </c>
      <c r="I23" s="27">
        <v>27.40623139511808</v>
      </c>
      <c r="J23" s="27">
        <v>831.06767215717412</v>
      </c>
      <c r="K23" s="27">
        <v>69.428458027386384</v>
      </c>
      <c r="L23" s="35"/>
      <c r="M23" s="35"/>
    </row>
    <row r="24" spans="2:13" x14ac:dyDescent="0.25">
      <c r="B24" s="33" t="s">
        <v>80</v>
      </c>
      <c r="C24" s="27">
        <v>9.563058589870904</v>
      </c>
      <c r="D24" s="27">
        <v>15.09433962264151</v>
      </c>
      <c r="E24" s="27">
        <v>582.21449851042701</v>
      </c>
      <c r="F24" s="27">
        <v>96.176762661370432</v>
      </c>
      <c r="G24" s="34"/>
      <c r="H24" s="27">
        <v>14.287126754993078</v>
      </c>
      <c r="I24" s="27">
        <v>28.356733241052005</v>
      </c>
      <c r="J24" s="27">
        <v>426.62645837453027</v>
      </c>
      <c r="K24" s="27">
        <v>47.567727901918126</v>
      </c>
      <c r="L24" s="35"/>
      <c r="M24" s="35"/>
    </row>
    <row r="25" spans="2:13" x14ac:dyDescent="0.25">
      <c r="B25" s="33" t="s">
        <v>81</v>
      </c>
      <c r="C25" s="27">
        <v>16.815564820329559</v>
      </c>
      <c r="D25" s="27">
        <v>11.68354179074846</v>
      </c>
      <c r="E25" s="27">
        <v>374.23069287274166</v>
      </c>
      <c r="F25" s="27">
        <v>112.24935477466745</v>
      </c>
      <c r="G25" s="34"/>
      <c r="H25" s="27">
        <v>3.8981702466189336</v>
      </c>
      <c r="I25" s="27">
        <v>27.028639618138424</v>
      </c>
      <c r="J25" s="27">
        <v>170.76372315035798</v>
      </c>
      <c r="K25" s="27">
        <v>54.246221161495619</v>
      </c>
      <c r="L25" s="35"/>
      <c r="M25" s="35"/>
    </row>
    <row r="26" spans="2:13" x14ac:dyDescent="0.25">
      <c r="B26" s="33" t="s">
        <v>82</v>
      </c>
      <c r="C26" s="27">
        <v>18.831168831168831</v>
      </c>
      <c r="D26" s="27">
        <v>8.9039748130657212</v>
      </c>
      <c r="E26" s="27">
        <v>514.12829594647769</v>
      </c>
      <c r="F26" s="27">
        <v>62.82959464777646</v>
      </c>
      <c r="G26" s="34"/>
      <c r="H26" s="27">
        <v>8.1381500595474385</v>
      </c>
      <c r="I26" s="27">
        <v>1830.7264787614135</v>
      </c>
      <c r="J26" s="27">
        <v>467.91385470424768</v>
      </c>
      <c r="K26" s="27">
        <v>84.507741167129808</v>
      </c>
      <c r="L26" s="35"/>
      <c r="M26" s="35"/>
    </row>
    <row r="27" spans="2:13" x14ac:dyDescent="0.25">
      <c r="B27" s="33" t="s">
        <v>83</v>
      </c>
      <c r="C27" s="27">
        <v>11.249254028247464</v>
      </c>
      <c r="D27" s="27">
        <v>0.7559180425701213</v>
      </c>
      <c r="E27" s="27">
        <v>119.58424507658641</v>
      </c>
      <c r="F27" s="27">
        <v>121.35468470260591</v>
      </c>
      <c r="G27" s="34"/>
      <c r="H27" s="27">
        <v>1.2120614899487583</v>
      </c>
      <c r="I27" s="27">
        <v>14.889633425305478</v>
      </c>
      <c r="J27" s="27">
        <v>110.71147024044147</v>
      </c>
      <c r="K27" s="27">
        <v>52.049664958612539</v>
      </c>
      <c r="L27" s="35"/>
      <c r="M27" s="35"/>
    </row>
    <row r="28" spans="2:13" x14ac:dyDescent="0.25">
      <c r="B28" s="5" t="s">
        <v>17</v>
      </c>
      <c r="C28" s="30">
        <v>12.692156089869925</v>
      </c>
      <c r="D28" s="30">
        <v>16.495861253448954</v>
      </c>
      <c r="E28" s="30">
        <v>63.441072132439906</v>
      </c>
      <c r="F28" s="29">
        <v>1053.8234134804889</v>
      </c>
      <c r="H28" s="29">
        <v>11.547572048953809</v>
      </c>
      <c r="I28" s="30">
        <v>17.647058823529409</v>
      </c>
      <c r="J28" s="30">
        <v>73.52941176470587</v>
      </c>
      <c r="K28" s="30">
        <v>870.29214370311877</v>
      </c>
      <c r="L28" s="32"/>
      <c r="M28" s="32"/>
    </row>
    <row r="29" spans="2:13" x14ac:dyDescent="0.25">
      <c r="B29" s="28" t="s">
        <v>84</v>
      </c>
      <c r="C29" s="25">
        <v>6.3787638668779705</v>
      </c>
      <c r="D29" s="25">
        <v>3.5261489698890647</v>
      </c>
      <c r="E29" s="25">
        <v>287.98534072900156</v>
      </c>
      <c r="F29" s="25">
        <v>71.979001584786047</v>
      </c>
      <c r="H29" s="30">
        <v>-4.329692154915592</v>
      </c>
      <c r="I29" s="25">
        <v>15.114200595829198</v>
      </c>
      <c r="J29" s="25">
        <v>82.31380337636547</v>
      </c>
      <c r="K29" s="30">
        <v>-0.83416087388281668</v>
      </c>
      <c r="L29" s="32"/>
      <c r="M29" s="32"/>
    </row>
    <row r="30" spans="2:13" x14ac:dyDescent="0.25">
      <c r="B30" s="28" t="s">
        <v>85</v>
      </c>
      <c r="C30" s="25">
        <v>7.8290766208251474</v>
      </c>
      <c r="D30" s="25">
        <v>1.7976424361493124</v>
      </c>
      <c r="E30" s="25">
        <v>202.15127701375246</v>
      </c>
      <c r="F30" s="25">
        <v>114.19449901768174</v>
      </c>
      <c r="H30" s="25">
        <v>1.40499115739831</v>
      </c>
      <c r="I30" s="25">
        <v>8.5969738651994501</v>
      </c>
      <c r="J30" s="25">
        <v>121.15346826488505</v>
      </c>
      <c r="K30" s="25">
        <v>8.4004716054234638</v>
      </c>
      <c r="L30" s="32"/>
      <c r="M30" s="32"/>
    </row>
    <row r="31" spans="2:13" x14ac:dyDescent="0.25">
      <c r="B31" s="28" t="s">
        <v>86</v>
      </c>
      <c r="C31" s="25">
        <v>8.1697402339877083</v>
      </c>
      <c r="D31" s="25">
        <v>1.9234582589728337</v>
      </c>
      <c r="E31" s="25">
        <v>98.949038270870517</v>
      </c>
      <c r="F31" s="25">
        <v>105.1854055125917</v>
      </c>
      <c r="H31" s="30">
        <v>-5.579652996845426</v>
      </c>
      <c r="I31" s="25">
        <v>3.9136435331230284</v>
      </c>
      <c r="J31" s="25">
        <v>69.223186119873816</v>
      </c>
      <c r="K31" s="25">
        <v>4.1108044164037922</v>
      </c>
      <c r="L31" s="32"/>
      <c r="M31" s="32"/>
    </row>
    <row r="32" spans="2:13" x14ac:dyDescent="0.25">
      <c r="B32" s="28" t="s">
        <v>87</v>
      </c>
      <c r="C32" s="25">
        <v>13.279559315364942</v>
      </c>
      <c r="D32" s="30">
        <v>-9.8367106039740325E-3</v>
      </c>
      <c r="E32" s="25">
        <v>21.719457013574662</v>
      </c>
      <c r="F32" s="25">
        <v>94.924257328349398</v>
      </c>
      <c r="H32" s="25">
        <v>3.6181601903251388</v>
      </c>
      <c r="I32" s="25">
        <v>0.8524980174464708</v>
      </c>
      <c r="J32" s="25">
        <v>112.49008723235529</v>
      </c>
      <c r="K32" s="30">
        <v>-2.7954004758128477</v>
      </c>
      <c r="L32" s="32"/>
      <c r="M32" s="32"/>
    </row>
    <row r="33" spans="2:15" x14ac:dyDescent="0.25">
      <c r="B33" s="28" t="s">
        <v>88</v>
      </c>
      <c r="C33" s="25">
        <v>4.0276406712734474</v>
      </c>
      <c r="D33" s="30">
        <v>-0.16781836130306022</v>
      </c>
      <c r="E33" s="25">
        <v>217.43336623889439</v>
      </c>
      <c r="F33" s="25">
        <v>63.849950641658452</v>
      </c>
      <c r="H33" s="25">
        <v>1.3908205841446455</v>
      </c>
      <c r="I33" s="25">
        <v>1.9968209815219546</v>
      </c>
      <c r="J33" s="25">
        <v>116.86866679912579</v>
      </c>
      <c r="K33" s="30">
        <v>-21.349095966620304</v>
      </c>
      <c r="L33" s="32"/>
      <c r="M33" s="32"/>
    </row>
    <row r="34" spans="2:15" x14ac:dyDescent="0.25">
      <c r="B34" s="28" t="s">
        <v>89</v>
      </c>
      <c r="C34" s="25">
        <v>5.302279484638257</v>
      </c>
      <c r="D34" s="25">
        <v>2.4975222993062443</v>
      </c>
      <c r="E34" s="25">
        <v>218.00792864222004</v>
      </c>
      <c r="F34" s="25">
        <v>24.985133795837466</v>
      </c>
      <c r="H34" s="25">
        <v>6.8298969072164963</v>
      </c>
      <c r="I34" s="25">
        <v>4.4012688342585244</v>
      </c>
      <c r="J34" s="25">
        <v>159.76407613005554</v>
      </c>
      <c r="K34" s="25">
        <v>21.976605868358448</v>
      </c>
      <c r="L34" s="32"/>
      <c r="M34" s="32"/>
    </row>
    <row r="35" spans="2:15" x14ac:dyDescent="0.25">
      <c r="B35" s="36" t="s">
        <v>90</v>
      </c>
      <c r="C35" s="27">
        <v>3.8248665744218222</v>
      </c>
      <c r="D35" s="27">
        <v>4.4475192725835146</v>
      </c>
      <c r="E35" s="27">
        <v>220.41905514923894</v>
      </c>
      <c r="F35" s="27">
        <v>102.20399288396916</v>
      </c>
      <c r="G35" s="34"/>
      <c r="H35" s="27">
        <v>1.1653170057278293</v>
      </c>
      <c r="I35" s="27">
        <v>11.08038712225953</v>
      </c>
      <c r="J35" s="27">
        <v>141.42800711040883</v>
      </c>
      <c r="K35" s="27">
        <v>72.970570807821474</v>
      </c>
      <c r="L35" s="35"/>
      <c r="M35" s="35"/>
      <c r="N35" s="35"/>
      <c r="O35" s="35"/>
    </row>
    <row r="36" spans="2:15" x14ac:dyDescent="0.25">
      <c r="B36" s="36" t="s">
        <v>91</v>
      </c>
      <c r="C36" s="27">
        <v>5.5225064445766421</v>
      </c>
      <c r="D36" s="27">
        <v>5.8893515764425945</v>
      </c>
      <c r="E36" s="27">
        <v>217.60856632956575</v>
      </c>
      <c r="F36" s="27">
        <v>30.011897679952416</v>
      </c>
      <c r="G36" s="34"/>
      <c r="H36" s="27">
        <v>6.8096088941830448</v>
      </c>
      <c r="I36" s="27">
        <v>13.5100258090133</v>
      </c>
      <c r="J36" s="27">
        <v>45.672027000198526</v>
      </c>
      <c r="K36" s="27">
        <v>53.325392098471319</v>
      </c>
      <c r="L36" s="35"/>
      <c r="M36" s="35"/>
    </row>
    <row r="37" spans="2:15" x14ac:dyDescent="0.25">
      <c r="B37" s="5" t="s">
        <v>16</v>
      </c>
      <c r="C37" s="31">
        <v>2.9761904761904763</v>
      </c>
      <c r="D37" s="30">
        <v>16.448412698412699</v>
      </c>
      <c r="E37" s="31">
        <v>393.03571428571428</v>
      </c>
      <c r="F37" s="29">
        <v>1040.4563492063492</v>
      </c>
      <c r="H37" s="29">
        <v>10.379596678529062</v>
      </c>
      <c r="I37" s="29">
        <v>7.3546856465005925</v>
      </c>
      <c r="J37" s="29">
        <v>118.92052194543298</v>
      </c>
      <c r="K37" s="29">
        <v>813.14748912613675</v>
      </c>
      <c r="L37" s="32"/>
      <c r="M37" s="32"/>
    </row>
    <row r="38" spans="2:15" x14ac:dyDescent="0.25">
      <c r="B38" s="5" t="s">
        <v>17</v>
      </c>
      <c r="C38" s="29">
        <v>8.57311785573512</v>
      </c>
      <c r="D38" s="29">
        <v>12.002364998029169</v>
      </c>
      <c r="E38" s="31">
        <v>163.38194718171067</v>
      </c>
      <c r="F38" s="29">
        <v>1043.0232558139537</v>
      </c>
      <c r="H38" s="30">
        <v>16.16660086853533</v>
      </c>
      <c r="I38" s="29">
        <v>13.028030003947888</v>
      </c>
      <c r="J38" s="30">
        <v>110.1263324121595</v>
      </c>
      <c r="K38" s="29">
        <v>805.21121200157916</v>
      </c>
      <c r="L38" s="32"/>
      <c r="M38" s="32"/>
    </row>
    <row r="41" spans="2:15" ht="23.25" x14ac:dyDescent="0.35">
      <c r="B41" s="79" t="s">
        <v>92</v>
      </c>
      <c r="C41" s="79"/>
      <c r="D41" s="79"/>
      <c r="E41" s="79"/>
      <c r="F41" s="79"/>
      <c r="G41" s="79"/>
      <c r="H41" s="79"/>
      <c r="I41" s="79"/>
      <c r="J41" s="79"/>
      <c r="K41" s="79"/>
    </row>
    <row r="42" spans="2:15" ht="16.5" thickBot="1" x14ac:dyDescent="0.3">
      <c r="B42" s="80">
        <v>44418</v>
      </c>
      <c r="C42" s="80"/>
      <c r="D42" s="80"/>
      <c r="E42" s="80"/>
      <c r="H42" s="80">
        <v>44425</v>
      </c>
      <c r="I42" s="80"/>
      <c r="J42" s="80"/>
      <c r="K42" s="80"/>
    </row>
    <row r="43" spans="2:15" x14ac:dyDescent="0.25">
      <c r="C43" s="61" t="s">
        <v>12</v>
      </c>
      <c r="D43" s="61" t="s">
        <v>13</v>
      </c>
      <c r="E43" s="61" t="s">
        <v>14</v>
      </c>
      <c r="I43" s="61" t="s">
        <v>12</v>
      </c>
      <c r="J43" s="61" t="s">
        <v>13</v>
      </c>
      <c r="K43" s="61" t="s">
        <v>14</v>
      </c>
    </row>
    <row r="44" spans="2:15" ht="15.75" thickBot="1" x14ac:dyDescent="0.3">
      <c r="C44" s="62"/>
      <c r="D44" s="62"/>
      <c r="E44" s="62"/>
      <c r="I44" s="62"/>
      <c r="J44" s="62"/>
      <c r="K44" s="62"/>
    </row>
    <row r="45" spans="2:15" x14ac:dyDescent="0.25">
      <c r="B45" s="5" t="s">
        <v>16</v>
      </c>
      <c r="C45" s="29">
        <v>0.4172420634920635</v>
      </c>
      <c r="D45" s="30">
        <v>0.16166666666666665</v>
      </c>
      <c r="E45" s="29">
        <v>1.8267460317460316</v>
      </c>
      <c r="I45" s="30">
        <v>0.3498220640569395</v>
      </c>
      <c r="J45" s="30">
        <v>0.15541716093317517</v>
      </c>
      <c r="K45" s="30">
        <v>2.2856860419138001</v>
      </c>
    </row>
    <row r="46" spans="2:15" x14ac:dyDescent="0.25">
      <c r="B46" s="5" t="s">
        <v>17</v>
      </c>
      <c r="C46" s="30">
        <v>0.39865983445013797</v>
      </c>
      <c r="D46" s="30">
        <v>0.16277098935750886</v>
      </c>
      <c r="E46" s="29">
        <v>1.9384509262908949</v>
      </c>
      <c r="I46" s="30">
        <v>0.39107777339123562</v>
      </c>
      <c r="J46" s="30">
        <v>0.16407422029214372</v>
      </c>
      <c r="K46" s="30">
        <v>2.4705882352941173</v>
      </c>
    </row>
    <row r="47" spans="2:15" x14ac:dyDescent="0.25">
      <c r="B47" s="5" t="s">
        <v>63</v>
      </c>
      <c r="C47" s="25">
        <v>0.14928386711756517</v>
      </c>
      <c r="D47" s="25">
        <v>8.4662820767853586E-2</v>
      </c>
      <c r="E47" s="25">
        <v>0.78081360652476617</v>
      </c>
      <c r="I47" s="25">
        <v>0.24997033227848098</v>
      </c>
      <c r="J47" s="25">
        <v>0.1381428006329114</v>
      </c>
      <c r="K47" s="25">
        <v>2.0508900316455692</v>
      </c>
      <c r="M47" s="32">
        <f>+I47/C47</f>
        <v>1.6744631359370028</v>
      </c>
      <c r="N47" s="32">
        <f>+J47/D47</f>
        <v>1.6316819990170246</v>
      </c>
      <c r="O47" s="32">
        <f>+K47/E47</f>
        <v>2.6266064199030041</v>
      </c>
    </row>
    <row r="48" spans="2:15" x14ac:dyDescent="0.25">
      <c r="B48" s="5" t="s">
        <v>64</v>
      </c>
      <c r="C48" s="25">
        <v>0.12809391165937126</v>
      </c>
      <c r="D48" s="25">
        <v>7.4054914444886571E-2</v>
      </c>
      <c r="E48" s="25">
        <v>0.58974333465976914</v>
      </c>
      <c r="I48" s="25">
        <v>0.20016732283464569</v>
      </c>
      <c r="J48" s="25">
        <v>0.11559055118110236</v>
      </c>
      <c r="K48" s="25">
        <v>1.7240748031496065</v>
      </c>
      <c r="M48" s="32">
        <f t="shared" ref="M48:M78" si="0">+I48/C48</f>
        <v>1.5626607091750999</v>
      </c>
      <c r="N48" s="32">
        <f t="shared" ref="N48:N78" si="1">+J48/D48</f>
        <v>1.5608761693611515</v>
      </c>
      <c r="O48" s="32">
        <f t="shared" ref="O48:O78" si="2">+K48/E48</f>
        <v>2.9234324524316131</v>
      </c>
    </row>
    <row r="49" spans="2:15" x14ac:dyDescent="0.25">
      <c r="B49" s="5" t="s">
        <v>65</v>
      </c>
      <c r="C49" s="25">
        <v>0.17162804515745692</v>
      </c>
      <c r="D49" s="25">
        <v>8.8314517726282432E-2</v>
      </c>
      <c r="E49" s="25">
        <v>0.59851455733808678</v>
      </c>
      <c r="I49" s="25">
        <v>0.28617315675034594</v>
      </c>
      <c r="J49" s="25">
        <v>0.12745601897608225</v>
      </c>
      <c r="K49" s="25">
        <v>1.2626704882387825</v>
      </c>
      <c r="M49" s="32">
        <f t="shared" si="0"/>
        <v>1.6674032293952994</v>
      </c>
      <c r="N49" s="32">
        <f t="shared" si="1"/>
        <v>1.44320574077201</v>
      </c>
      <c r="O49" s="32">
        <f t="shared" si="2"/>
        <v>2.1096738128719057</v>
      </c>
    </row>
    <row r="50" spans="2:15" x14ac:dyDescent="0.25">
      <c r="B50" s="5" t="s">
        <v>66</v>
      </c>
      <c r="C50" s="25">
        <v>0.16728333992876931</v>
      </c>
      <c r="D50" s="25">
        <v>8.2568262762168596E-2</v>
      </c>
      <c r="E50" s="25">
        <v>0.64294618124258029</v>
      </c>
      <c r="I50" s="25">
        <v>0.29849823321554775</v>
      </c>
      <c r="J50" s="25">
        <v>0.12734589713388303</v>
      </c>
      <c r="K50" s="25">
        <v>1.2362681586179822</v>
      </c>
      <c r="M50" s="32">
        <f t="shared" si="0"/>
        <v>1.7843870964236539</v>
      </c>
      <c r="N50" s="32">
        <f t="shared" si="1"/>
        <v>1.5423104819425946</v>
      </c>
      <c r="O50" s="32">
        <f t="shared" si="2"/>
        <v>1.9228174840835466</v>
      </c>
    </row>
    <row r="51" spans="2:15" x14ac:dyDescent="0.25">
      <c r="B51" s="5" t="s">
        <v>67</v>
      </c>
      <c r="C51" s="25">
        <v>0.15747663551401869</v>
      </c>
      <c r="D51" s="25">
        <v>8.3992841519188705E-2</v>
      </c>
      <c r="E51" s="25">
        <v>0.73296878106979524</v>
      </c>
      <c r="I51" s="25">
        <v>0.21389984227129338</v>
      </c>
      <c r="J51" s="25">
        <v>0.1214806782334385</v>
      </c>
      <c r="K51" s="25">
        <v>1.9968651419558361</v>
      </c>
      <c r="M51" s="32">
        <f t="shared" si="0"/>
        <v>1.3582957343043556</v>
      </c>
      <c r="N51" s="32">
        <f t="shared" si="1"/>
        <v>1.4463218059563498</v>
      </c>
      <c r="O51" s="32">
        <f t="shared" si="2"/>
        <v>2.7243522419076798</v>
      </c>
    </row>
    <row r="52" spans="2:15" x14ac:dyDescent="0.25">
      <c r="B52" s="5" t="s">
        <v>68</v>
      </c>
      <c r="C52" s="25">
        <v>0.11107355864811133</v>
      </c>
      <c r="D52" s="25">
        <v>7.5188866799204765E-2</v>
      </c>
      <c r="E52" s="25">
        <v>0.59799204771371783</v>
      </c>
      <c r="I52" s="25">
        <v>0.19963711259317379</v>
      </c>
      <c r="J52" s="25">
        <v>0.11831110239309534</v>
      </c>
      <c r="K52" s="25">
        <v>1.7723322871714395</v>
      </c>
      <c r="M52" s="32">
        <f t="shared" si="0"/>
        <v>1.7973414647282338</v>
      </c>
      <c r="N52" s="32">
        <f t="shared" si="1"/>
        <v>1.5735188922191157</v>
      </c>
      <c r="O52" s="32">
        <f t="shared" si="2"/>
        <v>2.9638057796044879</v>
      </c>
    </row>
    <row r="53" spans="2:15" x14ac:dyDescent="0.25">
      <c r="B53" s="5" t="s">
        <v>69</v>
      </c>
      <c r="C53" s="25">
        <v>0.14003576395787803</v>
      </c>
      <c r="D53" s="25">
        <v>8.0508642956487186E-2</v>
      </c>
      <c r="E53" s="25">
        <v>0.92972382276971977</v>
      </c>
      <c r="I53" s="25">
        <v>0.24716924910607871</v>
      </c>
      <c r="J53" s="25">
        <v>0.1186134286849424</v>
      </c>
      <c r="K53" s="25">
        <v>1.8465733015494639</v>
      </c>
      <c r="M53" s="32">
        <f t="shared" si="0"/>
        <v>1.7650437439711888</v>
      </c>
      <c r="N53" s="32">
        <f t="shared" si="1"/>
        <v>1.4733005591592179</v>
      </c>
      <c r="O53" s="32">
        <f t="shared" si="2"/>
        <v>1.9861525071481745</v>
      </c>
    </row>
    <row r="54" spans="2:15" x14ac:dyDescent="0.25">
      <c r="B54" s="5" t="s">
        <v>70</v>
      </c>
      <c r="C54" s="25">
        <v>0.170249653259362</v>
      </c>
      <c r="D54" s="25">
        <v>8.6576183871606899E-2</v>
      </c>
      <c r="E54" s="25">
        <v>0.63009708737864079</v>
      </c>
      <c r="I54" s="25">
        <v>0.32385957953193184</v>
      </c>
      <c r="J54" s="25">
        <v>0.13327052756842525</v>
      </c>
      <c r="K54" s="25">
        <v>1.4537485124950418</v>
      </c>
      <c r="M54" s="32">
        <f t="shared" si="0"/>
        <v>1.9022627848678033</v>
      </c>
      <c r="N54" s="32">
        <f t="shared" si="1"/>
        <v>1.5393439813201562</v>
      </c>
      <c r="O54" s="32">
        <f t="shared" si="2"/>
        <v>2.3071817686747198</v>
      </c>
    </row>
    <row r="55" spans="2:15" x14ac:dyDescent="0.25">
      <c r="B55" s="5" t="s">
        <v>71</v>
      </c>
      <c r="C55" s="25">
        <v>0.14074110671936763</v>
      </c>
      <c r="D55" s="25">
        <v>9.8003952569169953E-2</v>
      </c>
      <c r="E55" s="25">
        <v>0.71443675889328062</v>
      </c>
      <c r="I55" s="25">
        <v>0.23717567835214895</v>
      </c>
      <c r="J55" s="25">
        <v>0.14988116458704695</v>
      </c>
      <c r="K55" s="25">
        <v>1.8391859774212715</v>
      </c>
      <c r="M55" s="32">
        <f t="shared" si="0"/>
        <v>1.6851912272159986</v>
      </c>
      <c r="N55" s="32">
        <f t="shared" si="1"/>
        <v>1.5293379568672265</v>
      </c>
      <c r="O55" s="32">
        <f t="shared" si="2"/>
        <v>2.5743159972204075</v>
      </c>
    </row>
    <row r="56" spans="2:15" x14ac:dyDescent="0.25">
      <c r="B56" s="5" t="s">
        <v>72</v>
      </c>
      <c r="C56" s="25">
        <v>0.15051741293532342</v>
      </c>
      <c r="D56" s="25">
        <v>7.8696517412935332E-2</v>
      </c>
      <c r="E56" s="25">
        <v>0.70620895522388072</v>
      </c>
      <c r="I56" s="25">
        <v>0.25495753505826585</v>
      </c>
      <c r="J56" s="25">
        <v>0.12150898676673909</v>
      </c>
      <c r="K56" s="25">
        <v>2.0017479755085916</v>
      </c>
      <c r="M56" s="32">
        <f t="shared" si="0"/>
        <v>1.6938740182029293</v>
      </c>
      <c r="N56" s="32">
        <f t="shared" si="1"/>
        <v>1.5440198723046248</v>
      </c>
      <c r="O56" s="32">
        <f t="shared" si="2"/>
        <v>2.8344981477528872</v>
      </c>
    </row>
    <row r="57" spans="2:15" x14ac:dyDescent="0.25">
      <c r="B57" s="5" t="s">
        <v>73</v>
      </c>
      <c r="C57" s="25">
        <v>0.14534722222222221</v>
      </c>
      <c r="D57" s="25">
        <v>8.7708333333333333E-2</v>
      </c>
      <c r="E57" s="25">
        <v>0.74577380952380956</v>
      </c>
      <c r="I57" s="25">
        <v>0.25317884729649437</v>
      </c>
      <c r="J57" s="25">
        <v>0.14144385026737968</v>
      </c>
      <c r="K57" s="25">
        <v>1.466884531590414</v>
      </c>
      <c r="M57" s="32">
        <f t="shared" si="0"/>
        <v>1.7418898237312561</v>
      </c>
      <c r="N57" s="32">
        <f t="shared" si="1"/>
        <v>1.612661475732595</v>
      </c>
      <c r="O57" s="32">
        <f t="shared" si="2"/>
        <v>1.9669295339387782</v>
      </c>
    </row>
    <row r="58" spans="2:15" x14ac:dyDescent="0.25">
      <c r="B58" s="5" t="s">
        <v>74</v>
      </c>
      <c r="C58" s="25">
        <v>0.15671273445212242</v>
      </c>
      <c r="D58" s="25">
        <v>9.7660414610069121E-2</v>
      </c>
      <c r="E58" s="25">
        <v>0.60094768015794686</v>
      </c>
      <c r="I58" s="25">
        <v>0.25566019032513881</v>
      </c>
      <c r="J58" s="25">
        <v>0.15105075337034102</v>
      </c>
      <c r="K58" s="25">
        <v>1.4665939730372721</v>
      </c>
      <c r="M58" s="32">
        <f t="shared" si="0"/>
        <v>1.6313938444054525</v>
      </c>
      <c r="N58" s="32">
        <f t="shared" si="1"/>
        <v>1.5466937548181079</v>
      </c>
      <c r="O58" s="32">
        <f t="shared" si="2"/>
        <v>2.4404686488710761</v>
      </c>
    </row>
    <row r="59" spans="2:15" x14ac:dyDescent="0.25">
      <c r="B59" s="5" t="s">
        <v>75</v>
      </c>
      <c r="C59" s="25">
        <v>0.15897762951334379</v>
      </c>
      <c r="D59" s="25">
        <v>8.0180533751962324E-2</v>
      </c>
      <c r="E59" s="25">
        <v>0.63563579277864979</v>
      </c>
      <c r="I59" s="25">
        <v>0.22699289660615629</v>
      </c>
      <c r="J59" s="25">
        <v>0.13449092344119967</v>
      </c>
      <c r="K59" s="25">
        <v>1.444080505130229</v>
      </c>
      <c r="M59" s="32">
        <f t="shared" si="0"/>
        <v>1.4278291688020397</v>
      </c>
      <c r="N59" s="32">
        <f t="shared" si="1"/>
        <v>1.6773513114448202</v>
      </c>
      <c r="O59" s="32">
        <f t="shared" si="2"/>
        <v>2.2718678235810228</v>
      </c>
    </row>
    <row r="60" spans="2:15" x14ac:dyDescent="0.25">
      <c r="B60" s="5" t="s">
        <v>76</v>
      </c>
      <c r="C60" s="25">
        <v>0.13340918084685399</v>
      </c>
      <c r="D60" s="25">
        <v>7.342698852394143E-2</v>
      </c>
      <c r="E60" s="25">
        <v>0.68200435298773254</v>
      </c>
      <c r="I60" s="25">
        <v>0.22257081038552323</v>
      </c>
      <c r="J60" s="25">
        <v>0.12105625491738792</v>
      </c>
      <c r="K60" s="25">
        <v>1.8580448465774981</v>
      </c>
      <c r="M60" s="32">
        <f t="shared" si="0"/>
        <v>1.6683320366161427</v>
      </c>
      <c r="N60" s="32">
        <f t="shared" si="1"/>
        <v>1.6486615800390152</v>
      </c>
      <c r="O60" s="32">
        <f t="shared" si="2"/>
        <v>2.7243885444979257</v>
      </c>
    </row>
    <row r="61" spans="2:15" x14ac:dyDescent="0.25">
      <c r="B61" s="5" t="s">
        <v>77</v>
      </c>
      <c r="C61" s="25">
        <v>0.13807010555666202</v>
      </c>
      <c r="D61" s="25">
        <v>8.5072694682334207E-2</v>
      </c>
      <c r="E61" s="25">
        <v>0.97768372834096795</v>
      </c>
      <c r="I61" s="25">
        <v>0.20904696132596687</v>
      </c>
      <c r="J61" s="25">
        <v>0.11983030781373322</v>
      </c>
      <c r="K61" s="25">
        <v>2.0802683504340962</v>
      </c>
      <c r="M61" s="32">
        <f t="shared" si="0"/>
        <v>1.5140638915509264</v>
      </c>
      <c r="N61" s="32">
        <f t="shared" si="1"/>
        <v>1.408563679112149</v>
      </c>
      <c r="O61" s="32">
        <f t="shared" si="2"/>
        <v>2.127751838484726</v>
      </c>
    </row>
    <row r="62" spans="2:15" x14ac:dyDescent="0.25">
      <c r="B62" s="5" t="s">
        <v>78</v>
      </c>
      <c r="C62" s="25">
        <v>0.14318497913769127</v>
      </c>
      <c r="D62" s="25">
        <v>8.2525332803496929E-2</v>
      </c>
      <c r="E62" s="25">
        <v>0.64862904828134327</v>
      </c>
      <c r="I62" s="25">
        <v>0.23433484878434474</v>
      </c>
      <c r="J62" s="25">
        <v>0.13608420636489424</v>
      </c>
      <c r="K62" s="25">
        <v>1.6800256967780194</v>
      </c>
      <c r="M62" s="32">
        <f t="shared" si="0"/>
        <v>1.6365882105482645</v>
      </c>
      <c r="N62" s="32">
        <f t="shared" si="1"/>
        <v>1.6489991829409236</v>
      </c>
      <c r="O62" s="32">
        <f t="shared" si="2"/>
        <v>2.5901178820614694</v>
      </c>
    </row>
    <row r="63" spans="2:15" x14ac:dyDescent="0.25">
      <c r="B63" s="5" t="s">
        <v>79</v>
      </c>
      <c r="C63" s="25">
        <v>0.21789620202823623</v>
      </c>
      <c r="D63" s="25">
        <v>0.19257307615828198</v>
      </c>
      <c r="E63" s="25">
        <v>2.7833863591171211</v>
      </c>
      <c r="I63" s="25">
        <v>0.38748759674538608</v>
      </c>
      <c r="J63" s="25">
        <v>0.31005159753919431</v>
      </c>
      <c r="K63" s="25">
        <v>3.6456538995832504</v>
      </c>
      <c r="M63" s="32">
        <f t="shared" si="0"/>
        <v>1.7783127614825212</v>
      </c>
      <c r="N63" s="32">
        <f t="shared" si="1"/>
        <v>1.6100464495065394</v>
      </c>
      <c r="O63" s="32">
        <f t="shared" si="2"/>
        <v>1.3097908192449563</v>
      </c>
    </row>
    <row r="64" spans="2:15" x14ac:dyDescent="0.25">
      <c r="B64" s="5" t="s">
        <v>80</v>
      </c>
      <c r="C64" s="25">
        <v>0.94157894736842118</v>
      </c>
      <c r="D64" s="25">
        <v>0.26718967229394247</v>
      </c>
      <c r="E64" s="25">
        <v>3.5535551142005968</v>
      </c>
      <c r="I64" s="25">
        <v>0.82253312240458776</v>
      </c>
      <c r="J64" s="25">
        <v>0.29365236306110343</v>
      </c>
      <c r="K64" s="25">
        <v>4.1946806406960642</v>
      </c>
      <c r="M64" s="32">
        <f t="shared" si="0"/>
        <v>0.87356787734416796</v>
      </c>
      <c r="N64" s="32">
        <f t="shared" si="1"/>
        <v>1.0990408444307258</v>
      </c>
      <c r="O64" s="32">
        <f t="shared" si="2"/>
        <v>1.1804180618821483</v>
      </c>
    </row>
    <row r="65" spans="2:15" x14ac:dyDescent="0.25">
      <c r="B65" s="5" t="s">
        <v>81</v>
      </c>
      <c r="C65" s="25">
        <v>1.8363311494937464</v>
      </c>
      <c r="D65" s="25">
        <v>0.21747071669644633</v>
      </c>
      <c r="E65" s="25">
        <v>3.3398352193766137</v>
      </c>
      <c r="I65" s="25">
        <v>1.4134844868735084</v>
      </c>
      <c r="J65" s="25">
        <v>0.20292362768496422</v>
      </c>
      <c r="K65" s="25">
        <v>3.1596260938743037</v>
      </c>
      <c r="M65" s="32">
        <f t="shared" si="0"/>
        <v>0.76973289227446173</v>
      </c>
      <c r="N65" s="32">
        <f t="shared" si="1"/>
        <v>0.9331078260445177</v>
      </c>
      <c r="O65" s="32">
        <f t="shared" si="2"/>
        <v>0.94604250998468531</v>
      </c>
    </row>
    <row r="66" spans="2:15" x14ac:dyDescent="0.25">
      <c r="B66" s="5" t="s">
        <v>82</v>
      </c>
      <c r="C66" s="25">
        <v>0.87697756788665893</v>
      </c>
      <c r="D66" s="25">
        <v>0.19310310901219999</v>
      </c>
      <c r="E66" s="25">
        <v>3.6482388823297915</v>
      </c>
      <c r="I66" s="25">
        <v>1.018568876538309</v>
      </c>
      <c r="J66" s="25">
        <v>0.22297538705835651</v>
      </c>
      <c r="K66" s="25">
        <v>4.5519452163556968</v>
      </c>
      <c r="M66" s="32">
        <f t="shared" si="0"/>
        <v>1.1614537404791971</v>
      </c>
      <c r="N66" s="32">
        <f t="shared" si="1"/>
        <v>1.1546959973817368</v>
      </c>
      <c r="O66" s="32">
        <f t="shared" si="2"/>
        <v>1.2477102961659112</v>
      </c>
    </row>
    <row r="67" spans="2:15" x14ac:dyDescent="0.25">
      <c r="B67" s="5" t="s">
        <v>83</v>
      </c>
      <c r="C67" s="25">
        <v>0.13756713745772825</v>
      </c>
      <c r="D67" s="25">
        <v>5.7230952854585244E-2</v>
      </c>
      <c r="E67" s="25">
        <v>0.50195941913666209</v>
      </c>
      <c r="I67" s="25">
        <v>0.26463342530547895</v>
      </c>
      <c r="J67" s="25">
        <v>8.211470240441468E-2</v>
      </c>
      <c r="K67" s="25">
        <v>1.1694028379976353</v>
      </c>
      <c r="M67" s="32">
        <f t="shared" si="0"/>
        <v>1.9236674557308118</v>
      </c>
      <c r="N67" s="32">
        <f t="shared" si="1"/>
        <v>1.4347953040910413</v>
      </c>
      <c r="O67" s="32">
        <f t="shared" si="2"/>
        <v>2.3296760523170041</v>
      </c>
    </row>
    <row r="68" spans="2:15" x14ac:dyDescent="0.25">
      <c r="B68" s="5" t="s">
        <v>17</v>
      </c>
      <c r="C68" s="30">
        <v>0.29574300354749711</v>
      </c>
      <c r="D68" s="30">
        <v>0.15250295624753649</v>
      </c>
      <c r="E68" s="29">
        <v>2.0304493496255422</v>
      </c>
      <c r="I68" s="30">
        <v>0.37037110146071839</v>
      </c>
      <c r="J68" s="30">
        <v>0.17347019344650613</v>
      </c>
      <c r="K68" s="29">
        <v>2.7850177654954602</v>
      </c>
      <c r="M68" s="32">
        <f t="shared" si="0"/>
        <v>1.2523410427906736</v>
      </c>
      <c r="N68" s="32">
        <f t="shared" si="1"/>
        <v>1.1374874147681209</v>
      </c>
      <c r="O68" s="32">
        <f t="shared" si="2"/>
        <v>1.3716263180901687</v>
      </c>
    </row>
    <row r="69" spans="2:15" x14ac:dyDescent="0.25">
      <c r="B69" s="5" t="s">
        <v>84</v>
      </c>
      <c r="C69" s="25">
        <v>0.20484350237717913</v>
      </c>
      <c r="D69" s="25">
        <v>8.5697305863708398E-2</v>
      </c>
      <c r="E69" s="25">
        <v>0.8825970681458003</v>
      </c>
      <c r="I69" s="25">
        <v>0.3261966236345582</v>
      </c>
      <c r="J69" s="25">
        <v>0.15279046673286992</v>
      </c>
      <c r="K69" s="25">
        <v>2.3456206554121155</v>
      </c>
      <c r="M69" s="32">
        <f t="shared" si="0"/>
        <v>1.5924186993929204</v>
      </c>
      <c r="N69" s="32">
        <f t="shared" si="1"/>
        <v>1.782908636309587</v>
      </c>
      <c r="O69" s="32">
        <f t="shared" si="2"/>
        <v>2.6576347691023958</v>
      </c>
    </row>
    <row r="70" spans="2:15" x14ac:dyDescent="0.25">
      <c r="B70" s="5" t="s">
        <v>85</v>
      </c>
      <c r="C70" s="25">
        <v>0.16058939096267191</v>
      </c>
      <c r="D70" s="25">
        <v>9.1060903732809437E-2</v>
      </c>
      <c r="E70" s="25">
        <v>0.87417485265225936</v>
      </c>
      <c r="I70" s="25">
        <v>0.25666142660640601</v>
      </c>
      <c r="J70" s="25">
        <v>0.14511691884456671</v>
      </c>
      <c r="K70" s="25">
        <v>2.2219198270780116</v>
      </c>
      <c r="M70" s="32">
        <f t="shared" si="0"/>
        <v>1.5982464661446127</v>
      </c>
      <c r="N70" s="32">
        <f t="shared" si="1"/>
        <v>1.5936248477213473</v>
      </c>
      <c r="O70" s="32">
        <f t="shared" si="2"/>
        <v>2.5417338651834633</v>
      </c>
    </row>
    <row r="71" spans="2:15" x14ac:dyDescent="0.25">
      <c r="B71" s="5" t="s">
        <v>86</v>
      </c>
      <c r="C71" s="25">
        <v>0.18868728931191756</v>
      </c>
      <c r="D71" s="25">
        <v>7.4667856434661908E-2</v>
      </c>
      <c r="E71" s="25">
        <v>0.62093991671624038</v>
      </c>
      <c r="I71" s="25">
        <v>0.22090891167192431</v>
      </c>
      <c r="J71" s="25">
        <v>0.13716482649842274</v>
      </c>
      <c r="K71" s="25">
        <v>1.5076597003154575</v>
      </c>
      <c r="M71" s="32">
        <f t="shared" si="0"/>
        <v>1.1707673181246534</v>
      </c>
      <c r="N71" s="32">
        <f t="shared" si="1"/>
        <v>1.8369996548441001</v>
      </c>
      <c r="O71" s="32">
        <f t="shared" si="2"/>
        <v>2.4280283159899252</v>
      </c>
    </row>
    <row r="72" spans="2:15" x14ac:dyDescent="0.25">
      <c r="B72" s="5" t="s">
        <v>87</v>
      </c>
      <c r="C72" s="25">
        <v>0.17466063348416294</v>
      </c>
      <c r="D72" s="25">
        <v>9.3133975998426141E-2</v>
      </c>
      <c r="E72" s="25">
        <v>0.65770214440291175</v>
      </c>
      <c r="I72" s="25">
        <v>0.19980174464710551</v>
      </c>
      <c r="J72" s="25">
        <v>0.15156621728786679</v>
      </c>
      <c r="K72" s="25">
        <v>1.6658406026962731</v>
      </c>
      <c r="M72" s="32">
        <f t="shared" si="0"/>
        <v>1.143942631269697</v>
      </c>
      <c r="N72" s="32">
        <f t="shared" si="1"/>
        <v>1.6273998362362205</v>
      </c>
      <c r="O72" s="32">
        <f t="shared" si="2"/>
        <v>2.53281917486918</v>
      </c>
    </row>
    <row r="73" spans="2:15" x14ac:dyDescent="0.25">
      <c r="B73" s="5" t="s">
        <v>88</v>
      </c>
      <c r="C73" s="25">
        <v>0.15513326752221129</v>
      </c>
      <c r="D73" s="25">
        <v>0.10399802566633763</v>
      </c>
      <c r="E73" s="25">
        <v>0.79018756169792703</v>
      </c>
      <c r="I73" s="25">
        <v>0.23622094178422412</v>
      </c>
      <c r="J73" s="25">
        <v>0.1689151599443672</v>
      </c>
      <c r="K73" s="25">
        <v>1.6521657063381685</v>
      </c>
      <c r="M73" s="32">
        <f t="shared" si="0"/>
        <v>1.5226968757710402</v>
      </c>
      <c r="N73" s="32">
        <f t="shared" si="1"/>
        <v>1.6242150642965727</v>
      </c>
      <c r="O73" s="32">
        <f t="shared" si="2"/>
        <v>2.0908525854140927</v>
      </c>
    </row>
    <row r="74" spans="2:15" x14ac:dyDescent="0.25">
      <c r="B74" s="5" t="s">
        <v>89</v>
      </c>
      <c r="C74" s="25">
        <v>0.11649157581764125</v>
      </c>
      <c r="D74" s="25">
        <v>8.0089197224975234E-2</v>
      </c>
      <c r="E74" s="25">
        <v>0.72589692765113989</v>
      </c>
      <c r="I74" s="25">
        <v>0.19401268834258528</v>
      </c>
      <c r="J74" s="25">
        <v>0.13951229183187946</v>
      </c>
      <c r="K74" s="25">
        <v>1.9658207771609835</v>
      </c>
      <c r="M74" s="32">
        <f t="shared" si="0"/>
        <v>1.6654653950797049</v>
      </c>
      <c r="N74" s="32">
        <f t="shared" si="1"/>
        <v>1.7419614213385268</v>
      </c>
      <c r="O74" s="32">
        <f t="shared" si="2"/>
        <v>2.7081265979758227</v>
      </c>
    </row>
    <row r="75" spans="2:15" x14ac:dyDescent="0.25">
      <c r="B75" s="5" t="s">
        <v>90</v>
      </c>
      <c r="C75" s="25">
        <v>9.2103182447123941E-2</v>
      </c>
      <c r="D75" s="25">
        <v>6.9401067404625427E-2</v>
      </c>
      <c r="E75" s="25">
        <v>0.53525400276734525</v>
      </c>
      <c r="I75" s="25">
        <v>0.19681019158601618</v>
      </c>
      <c r="J75" s="25">
        <v>0.12751333201659096</v>
      </c>
      <c r="K75" s="25">
        <v>1.5074560537230892</v>
      </c>
      <c r="M75" s="32">
        <f t="shared" si="0"/>
        <v>2.1368446383381388</v>
      </c>
      <c r="N75" s="32">
        <f t="shared" si="1"/>
        <v>1.8373396373452964</v>
      </c>
      <c r="O75" s="32">
        <f t="shared" si="2"/>
        <v>2.8163377497960038</v>
      </c>
    </row>
    <row r="76" spans="2:15" x14ac:dyDescent="0.25">
      <c r="B76" s="5" t="s">
        <v>91</v>
      </c>
      <c r="C76" s="25">
        <v>9.8274836406900656E-2</v>
      </c>
      <c r="D76" s="25">
        <v>8.5891334523101326E-2</v>
      </c>
      <c r="E76" s="25">
        <v>0.82081102518342275</v>
      </c>
      <c r="I76" s="25">
        <v>0.19042088544768709</v>
      </c>
      <c r="J76" s="25">
        <v>0.14028191383760175</v>
      </c>
      <c r="K76" s="25">
        <v>2.0831645820925155</v>
      </c>
      <c r="M76" s="32">
        <f t="shared" si="0"/>
        <v>1.9376362496220461</v>
      </c>
      <c r="N76" s="32">
        <f t="shared" si="1"/>
        <v>1.6332487394275093</v>
      </c>
      <c r="O76" s="32">
        <f t="shared" si="2"/>
        <v>2.5379344552870751</v>
      </c>
    </row>
    <row r="77" spans="2:15" x14ac:dyDescent="0.25">
      <c r="B77" s="5" t="s">
        <v>16</v>
      </c>
      <c r="C77" s="30">
        <v>0.30337301587301596</v>
      </c>
      <c r="D77" s="30">
        <v>0.15130952380952384</v>
      </c>
      <c r="E77" s="29">
        <v>1.907718253968254</v>
      </c>
      <c r="I77" s="29">
        <v>0.41919731119019371</v>
      </c>
      <c r="J77" s="30">
        <v>0.16650850138394621</v>
      </c>
      <c r="K77" s="30">
        <v>2.4599248714907076</v>
      </c>
      <c r="M77" s="32">
        <f t="shared" si="0"/>
        <v>1.3817883900579304</v>
      </c>
      <c r="N77" s="32">
        <f t="shared" si="1"/>
        <v>1.100449576416324</v>
      </c>
      <c r="O77" s="32">
        <f t="shared" si="2"/>
        <v>1.2894592093847224</v>
      </c>
    </row>
    <row r="78" spans="2:15" x14ac:dyDescent="0.25">
      <c r="B78" s="5" t="s">
        <v>17</v>
      </c>
      <c r="C78" s="30">
        <v>0.32534489554592039</v>
      </c>
      <c r="D78" s="30">
        <v>0.15975561687031931</v>
      </c>
      <c r="E78" s="29">
        <v>1.8122191564840364</v>
      </c>
      <c r="I78" s="29">
        <v>0.45045400710619815</v>
      </c>
      <c r="J78" s="30">
        <v>0.1712988551125148</v>
      </c>
      <c r="K78" s="29">
        <v>2.8151598894591392</v>
      </c>
      <c r="M78" s="32">
        <f t="shared" si="0"/>
        <v>1.384543028868942</v>
      </c>
      <c r="N78" s="32">
        <f t="shared" si="1"/>
        <v>1.0722556018269183</v>
      </c>
      <c r="O78" s="32">
        <f t="shared" si="2"/>
        <v>1.5534323646158508</v>
      </c>
    </row>
  </sheetData>
  <mergeCells count="12">
    <mergeCell ref="K43:K44"/>
    <mergeCell ref="B2:K2"/>
    <mergeCell ref="C3:F3"/>
    <mergeCell ref="H3:K3"/>
    <mergeCell ref="B41:K41"/>
    <mergeCell ref="B42:E42"/>
    <mergeCell ref="H42:K42"/>
    <mergeCell ref="C43:C44"/>
    <mergeCell ref="D43:D44"/>
    <mergeCell ref="E43:E44"/>
    <mergeCell ref="I43:I44"/>
    <mergeCell ref="J43:J4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5C9059850D9E42BA93DC9770C5AC28" ma:contentTypeVersion="14" ma:contentTypeDescription="Crear nuevo documento." ma:contentTypeScope="" ma:versionID="ae70eff465e92a0400a4e03dbd73f395">
  <xsd:schema xmlns:xsd="http://www.w3.org/2001/XMLSchema" xmlns:xs="http://www.w3.org/2001/XMLSchema" xmlns:p="http://schemas.microsoft.com/office/2006/metadata/properties" xmlns:ns2="7322d1f0-2bcc-499f-ba51-7f298eb9b660" xmlns:ns3="1b6b984c-9fa1-474b-9207-5dcd07de795d" targetNamespace="http://schemas.microsoft.com/office/2006/metadata/properties" ma:root="true" ma:fieldsID="399caca5a1cd5d666b65d5c84853f0d8" ns2:_="" ns3:_="">
    <xsd:import namespace="7322d1f0-2bcc-499f-ba51-7f298eb9b660"/>
    <xsd:import namespace="1b6b984c-9fa1-474b-9207-5dcd07de795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2d1f0-2bcc-499f-ba51-7f298eb9b66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f835f457-911c-46bd-9abb-a05c5af3d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b984c-9fa1-474b-9207-5dcd07de795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825e8e5-6a30-4d9e-889d-78a10b200219}" ma:internalName="TaxCatchAll" ma:showField="CatchAllData" ma:web="1b6b984c-9fa1-474b-9207-5dcd07de7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2d1f0-2bcc-499f-ba51-7f298eb9b660">
      <Terms xmlns="http://schemas.microsoft.com/office/infopath/2007/PartnerControls"/>
    </lcf76f155ced4ddcb4097134ff3c332f>
    <TaxCatchAll xmlns="1b6b984c-9fa1-474b-9207-5dcd07de79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E4AEFF-930D-4269-9BC0-B471ACAC6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22d1f0-2bcc-499f-ba51-7f298eb9b660"/>
    <ds:schemaRef ds:uri="1b6b984c-9fa1-474b-9207-5dcd07de7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BADE6E-C248-4D6A-B5C3-A9C931F9F069}">
  <ds:schemaRefs>
    <ds:schemaRef ds:uri="http://schemas.microsoft.com/office/2006/metadata/properties"/>
    <ds:schemaRef ds:uri="http://schemas.microsoft.com/office/infopath/2007/PartnerControls"/>
    <ds:schemaRef ds:uri="7322d1f0-2bcc-499f-ba51-7f298eb9b660"/>
    <ds:schemaRef ds:uri="1b6b984c-9fa1-474b-9207-5dcd07de795d"/>
  </ds:schemaRefs>
</ds:datastoreItem>
</file>

<file path=customXml/itemProps3.xml><?xml version="1.0" encoding="utf-8"?>
<ds:datastoreItem xmlns:ds="http://schemas.openxmlformats.org/officeDocument/2006/customXml" ds:itemID="{85F389EA-7236-4189-B839-AAEEAEC024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Macros</vt:lpstr>
      <vt:lpstr>Micros</vt:lpstr>
      <vt:lpstr>Nitrogeno</vt:lpstr>
      <vt:lpstr>Fosforo</vt:lpstr>
      <vt:lpstr>Boro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2026-04-30T18:54:08Z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0x0101008F5C9059850D9E42BA93DC9770C5AC28</vt:lpwstr>
  </property>
</Properties>
</file>